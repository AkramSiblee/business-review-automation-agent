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07c16c34f2daf9f/Google Drive Docs/Biz Infograph/Claude/business-review-automation-agent/sample-data/answer-keys/"/>
    </mc:Choice>
  </mc:AlternateContent>
  <xr:revisionPtr revIDLastSave="0" documentId="11_6F480E75D92F8BFC2A8458B55494918721F804C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 Here" sheetId="1" r:id="rId1"/>
    <sheet name="What You Get" sheetId="2" r:id="rId2"/>
    <sheet name="How It Works" sheetId="3" r:id="rId3"/>
    <sheet name="The Company" sheetId="4" r:id="rId4"/>
    <sheet name="Issues Checklist" sheetId="5" r:id="rId5"/>
    <sheet name="Key Numbers" sheetId="6" r:id="rId6"/>
    <sheet name="Scorecard" sheetId="7" r:id="rId7"/>
  </sheets>
  <definedNames>
    <definedName name="_xlnm._FilterDatabase" localSheetId="4" hidden="1">'Issues Checklist'!$A$4:$J$57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7" l="1"/>
  <c r="B14" i="7"/>
  <c r="B11" i="7"/>
  <c r="B9" i="7"/>
  <c r="B8" i="7"/>
  <c r="B7" i="7"/>
  <c r="B6" i="7"/>
  <c r="B10" i="7" s="1"/>
  <c r="B5" i="7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B17" i="7" l="1"/>
  <c r="B16" i="7"/>
  <c r="B15" i="7"/>
</calcChain>
</file>

<file path=xl/sharedStrings.xml><?xml version="1.0" encoding="utf-8"?>
<sst xmlns="http://schemas.openxmlformats.org/spreadsheetml/2006/main" count="856" uniqueCount="555">
  <si>
    <t>Answer Key: Complex Test Data (Halcyon Industrial Holdings, FY2025)</t>
  </si>
  <si>
    <t>Fictional company. All figures are synthetic and exist only to test the business review pipeline.</t>
  </si>
  <si>
    <t>What this file is</t>
  </si>
  <si>
    <t>The test input (sample-data/complex-test-data/Business_Review_Complex_Input_FY2025.xlsx) is a fictional group of 8 companies in 7 currencies. About 60 problems have been hidden in it on purpose: messy data, tricky accounting, and warning signs a CFO would want raised. This answer key lists every one of them, what a correct review should do about each, and the figures it should arrive at.</t>
  </si>
  <si>
    <t>Never copy this answer key into the inputs folder. Copy ONLY the test input workbook. If the review can see the answers, the test proves nothing.</t>
  </si>
  <si>
    <t>How to use it (3 steps)</t>
  </si>
  <si>
    <t>1. Copy Business_Review_Complex_Input_FY2025.xlsx (and nothing else) into the inputs folder.</t>
  </si>
  <si>
    <t>2. Ask Claude: "Run a business review cycle on the complex test data." It first produces a Data Validation Report and pauses for you. Reply to its questions (see tab 'How It Works'), then it builds the workbook, memo and deck.</t>
  </si>
  <si>
    <t>3. Open the outputs and work through 'Issues Checklist' (mark each issue Found / Partly / Missed) and type the review's figures into the yellow cells on 'Key Numbers'. 'Scorecard' then totals the result.</t>
  </si>
  <si>
    <t>Tabs in this file</t>
  </si>
  <si>
    <t>What You Get: the five files a review cycle produces, and what is in each.</t>
  </si>
  <si>
    <t>How It Works: the review's steps in plain English, including where it stops to ask you.</t>
  </si>
  <si>
    <t>The Company: the 8 entities in the test group and what makes each one hard.</t>
  </si>
  <si>
    <t>Issues Checklist: every planted issue, where it is, what a correct review does, why it matters, and where to look for it.</t>
  </si>
  <si>
    <t>Key Numbers: the figures a correct review should reproduce, with a pass/check column.</t>
  </si>
  <si>
    <t>Scorecard: your totals, plus the four things every good run must get right.</t>
  </si>
  <si>
    <t>Reading the checklist</t>
  </si>
  <si>
    <t>'Caught automatically' = Yes means the pipeline's built-in checker flags it in the Data Validation Report before any analysis. 'Needs judgment' means the review has to spot it during analysis, the way an experienced analyst would.</t>
  </si>
  <si>
    <t>Confidence levels you will see in the outputs: HIGH = clear evidence, handled silently and logged. MEDIUM = a reasonable assumption, handled and clearly logged. LOW = genuinely uncertain, so the review asks you rather than guessing.</t>
  </si>
  <si>
    <t>Basis of figures</t>
  </si>
  <si>
    <t>Group reporting currency USD. Fiscal year 1 Jan to 31 Dec 2025. Mixed accounting standards (US GAAP, IFRS, Ind AS) as listed on 'The Company'. P&amp;L figures translated at monthly average rates, balances at period-end rates, using the rates supplied inside the test file. Small rounding differences are expected.</t>
  </si>
  <si>
    <t>What a review cycle produces</t>
  </si>
  <si>
    <t>Five files land in the outputs folder, in this order.</t>
  </si>
  <si>
    <t>#</t>
  </si>
  <si>
    <t>File</t>
  </si>
  <si>
    <t>When</t>
  </si>
  <si>
    <t>What it contains</t>
  </si>
  <si>
    <t>How it is produced</t>
  </si>
  <si>
    <t>What to check on this test</t>
  </si>
  <si>
    <t>&lt;Period&gt;_Data_Validation_Report.xlsx</t>
  </si>
  <si>
    <t>First, then the review pauses</t>
  </si>
  <si>
    <t>What data was expected vs received, what is missing, data-quality problems found (wrong formats, duplicates, missing months, unbalanced ledgers), and questions for you.</t>
  </si>
  <si>
    <t>A built-in checker reads every tab of the input file and compares it to the standard layout. Nothing is consolidated yet.</t>
  </si>
  <si>
    <t>All issues marked 'Caught automatically = Yes' on the Issues Checklist should appear here. The Turkey hyperinflation question should be raised.</t>
  </si>
  <si>
    <t>&lt;Period&gt;_Business_Review_USD.xlsx (the model)</t>
  </si>
  <si>
    <t>After you reply to the checkpoint</t>
  </si>
  <si>
    <t>The full formula-driven model: income statement, balance sheet, cash flow, FX &amp; consolidation, revenue drivers, headcount, KPI dashboard, red flags, plus extra tabs when triggered (Adjustments bridge, Liquidity &amp; Covenants, Ownership &amp; Scope, Constant Currency).</t>
  </si>
  <si>
    <t>All 8 entities are translated to USD, intercompany sales removed, ownership rules applied, then every KPI and red flag computed. Figures are live Excel formulas, so you can trace them.</t>
  </si>
  <si>
    <t>Figures on the 'Key Numbers' tab. The balance-sheet check row must read TRUE.</t>
  </si>
  <si>
    <t>Assumptions &amp; Judgment Log (a tab inside the model)</t>
  </si>
  <si>
    <t>With the model</t>
  </si>
  <si>
    <t>Every assumption and judgment call, with its confidence level and whether it was resolved.</t>
  </si>
  <si>
    <t>Written as the review goes, so a person can audit the automation without redoing it.</t>
  </si>
  <si>
    <t>Should list e.g. the Mexico August rate proxy, the earn-out treated as one-time, the Period 13 adjustment.</t>
  </si>
  <si>
    <t>&lt;Period&gt;_Business_Review_USD.docx (the memo)</t>
  </si>
  <si>
    <t>After the model</t>
  </si>
  <si>
    <t>Executive summary with the top storylines, performance, balance sheet &amp; cash, growth drivers, risks, outlook. Extra sections when triggered: Liquidity &amp; Going-Concern Indicators, Earnings Quality, Scope &amp; Comparability, FX.</t>
  </si>
  <si>
    <t>Written from the model. Numbers are pulled from the workbook, never retyped.</t>
  </si>
  <si>
    <t>Liquidity section placed straight after the executive summary; earnings-quality section shows reported vs adjusted.</t>
  </si>
  <si>
    <t>&lt;Period&gt;_Business_Review_USD.pptx (the board deck)</t>
  </si>
  <si>
    <t>After the memo</t>
  </si>
  <si>
    <t>10-15 slides: executive summary, KPI scorecard, P&amp;L, revenue bridge, opex &amp; headcount, cash, budget vs actual, risks, outlook, appendix.</t>
  </si>
  <si>
    <t>Built from the same model and the same storylines as the memo, then each slide is rendered and visually checked.</t>
  </si>
  <si>
    <t>Slide 1 must lead with the covenant near-breach and the loan maturing June 2026.</t>
  </si>
  <si>
    <t>Every file states its currency (ISO code), fiscal period and accounting basis on the cover.</t>
  </si>
  <si>
    <t>Before anything is delivered, automatic quality checks run: Excel recalculation with no formula errors, no placeholder text, and headline figures matching between memo and deck.</t>
  </si>
  <si>
    <t>How the review gets there</t>
  </si>
  <si>
    <t>The steps, in plain English. You are involved at steps 1 and 3 only.</t>
  </si>
  <si>
    <t>Step</t>
  </si>
  <si>
    <t>What happens</t>
  </si>
  <si>
    <t>Your involvement</t>
  </si>
  <si>
    <t>On this test file</t>
  </si>
  <si>
    <t>0. Setup (first run only)</t>
  </si>
  <si>
    <t>Confirms reporting currency, fiscal year, accounting standard per entity, materiality thresholds and how to consolidate. Later cycles reuse these settings.</t>
  </si>
  <si>
    <t>Confirm or correct once.</t>
  </si>
  <si>
    <t>Expect: USD, calendar year, mixed standards, full consolidation except the 40% India JV (equity method).</t>
  </si>
  <si>
    <t>1. Read the file</t>
  </si>
  <si>
    <t>Opens every tab, works out what each tab is, reads dates and numbers using the file's own evidence (e.g. a day above 12 proves DD/MM), detects currency, units and language.</t>
  </si>
  <si>
    <t>None.</t>
  </si>
  <si>
    <t>Has to cope with German, Portuguese and Spanish account names, thousands-scaled figures and three date styles.</t>
  </si>
  <si>
    <t>2. Validate</t>
  </si>
  <si>
    <t>Checks ledgers balance, cash ties to the bank, headcount ties to payroll; spots duplicates, gaps, outliers and Excel errors.</t>
  </si>
  <si>
    <t>Finds the planted data-shape problems (section 'Data shape' on the checklist).</t>
  </si>
  <si>
    <t>3. CHECKPOINT: Data Validation Report</t>
  </si>
  <si>
    <t>Writes the report and STOPS. Nothing is consolidated until you reply.</t>
  </si>
  <si>
    <t>Read the report, answer its questions (batched into one round), say 'go ahead'.</t>
  </si>
  <si>
    <t>Expect a LOW-confidence question on Turkey's hyperinflation index. A good answer: 'no index available, present Turkey with a caveat'.</t>
  </si>
  <si>
    <t>4. Consolidate</t>
  </si>
  <si>
    <t>Translates every entity to USD, removes intercompany trading, applies ownership rules (minority share, JV share, acquisition/disposal dates).</t>
  </si>
  <si>
    <t>Brazil 70%, India JV 40%, Mexico from 1 Jul, UK until 30 Sep.</t>
  </si>
  <si>
    <t>5. Analyse drivers</t>
  </si>
  <si>
    <t>Explains why numbers moved: price/volume, new vs churned customers, headcount vs cost, budget variance, cash vs profit, covenant headroom.</t>
  </si>
  <si>
    <t>Recomputes the covenant the company reported.</t>
  </si>
  <si>
    <t>6. Red flags &amp; storylines</t>
  </si>
  <si>
    <t>Tests every metric against thresholds and trend, ranks the top 5 storylines.</t>
  </si>
  <si>
    <t>Covenant + loan maturity should rank first.</t>
  </si>
  <si>
    <t>7. Build the deliverables</t>
  </si>
  <si>
    <t>Model first, then memo and deck from the model. Depth scales with monthly / quarterly / annual.</t>
  </si>
  <si>
    <t>Annual (FY2025) depth.</t>
  </si>
  <si>
    <t>8. Quality checks</t>
  </si>
  <si>
    <t>Recalculates the workbook, scans for errors, renders and inspects every slide, checks the memo and deck agree.</t>
  </si>
  <si>
    <t>None, unless a check fails and cannot be fixed.</t>
  </si>
  <si>
    <t>All checks should PASS.</t>
  </si>
  <si>
    <t>The test group: Halcyon Industrial Holdings</t>
  </si>
  <si>
    <t>8 entities, 7 currencies, 3 accounting standards.</t>
  </si>
  <si>
    <t>Entity</t>
  </si>
  <si>
    <t>Country</t>
  </si>
  <si>
    <t>Currency</t>
  </si>
  <si>
    <t>Accounting standard</t>
  </si>
  <si>
    <t>Ownership / how included</t>
  </si>
  <si>
    <t>FY2025 net income (own currency)</t>
  </si>
  <si>
    <t>What makes it hard</t>
  </si>
  <si>
    <t>HQ01</t>
  </si>
  <si>
    <t>United States</t>
  </si>
  <si>
    <t>USD</t>
  </si>
  <si>
    <t>US GAAP</t>
  </si>
  <si>
    <t>Parent</t>
  </si>
  <si>
    <t>Bank loan with covenants, LIFO inventory, some staff paid in CAD, a EUR bank account</t>
  </si>
  <si>
    <t>DE01</t>
  </si>
  <si>
    <t>Germany</t>
  </si>
  <si>
    <t>EUR</t>
  </si>
  <si>
    <t>IFRS</t>
  </si>
  <si>
    <t>100%, fully included</t>
  </si>
  <si>
    <t>German account names, figures exported as year-to-date totals, buys goods from HQ</t>
  </si>
  <si>
    <t>BR01</t>
  </si>
  <si>
    <t>Brazil</t>
  </si>
  <si>
    <t>BRL</t>
  </si>
  <si>
    <t>70% owned, fully included with 30% minority share</t>
  </si>
  <si>
    <t>Portuguese names, figures in thousands, April missing</t>
  </si>
  <si>
    <t>TR01</t>
  </si>
  <si>
    <t>Turkey</t>
  </si>
  <si>
    <t>TRY</t>
  </si>
  <si>
    <t>High-inflation economy, 20% currency drop in March, loss-making</t>
  </si>
  <si>
    <t>MX01</t>
  </si>
  <si>
    <t>Mexico</t>
  </si>
  <si>
    <t>MXN</t>
  </si>
  <si>
    <t>100%, bought 1 Jul 2025</t>
  </si>
  <si>
    <t>Spanish names, single signed amount column, Jul-Dec only</t>
  </si>
  <si>
    <t>UK01</t>
  </si>
  <si>
    <t>United Kingdom</t>
  </si>
  <si>
    <t>GBP</t>
  </si>
  <si>
    <t>100%, sold 30 Sep 2025</t>
  </si>
  <si>
    <t>Discontinued operation, Jan-Sep only</t>
  </si>
  <si>
    <t>JV01</t>
  </si>
  <si>
    <t>India</t>
  </si>
  <si>
    <t>INR</t>
  </si>
  <si>
    <t>Ind AS</t>
  </si>
  <si>
    <t>40% joint venture, one-line share of profit</t>
  </si>
  <si>
    <t>Profit &amp; loss only, financial year starts in April</t>
  </si>
  <si>
    <t>HLD1</t>
  </si>
  <si>
    <t>Cayman Islands</t>
  </si>
  <si>
    <t>Dormant holding company, balance sheet only</t>
  </si>
  <si>
    <t>Every planted issue, and what a correct review does</t>
  </si>
  <si>
    <t>Fill in the yellow 'Your check' column after a run. The Scorecard tab totals it.</t>
  </si>
  <si>
    <t>Ref</t>
  </si>
  <si>
    <t>Area</t>
  </si>
  <si>
    <t>What's planted in the test file</t>
  </si>
  <si>
    <t>Where in the input file</t>
  </si>
  <si>
    <t>What a correct review does</t>
  </si>
  <si>
    <t>Why it matters</t>
  </si>
  <si>
    <t>Caught automatically?</t>
  </si>
  <si>
    <t>Where to look in the outputs</t>
  </si>
  <si>
    <t>Your check</t>
  </si>
  <si>
    <t>Notes</t>
  </si>
  <si>
    <t>2.1</t>
  </si>
  <si>
    <t>Data shape</t>
  </si>
  <si>
    <t>Germany's figures are cumulative year-to-date, not monthly.</t>
  </si>
  <si>
    <t>Main ledger tab, DE01 rows</t>
  </si>
  <si>
    <t>Convert to monthly amounts.</t>
  </si>
  <si>
    <t>Otherwise December would show a whole year of German revenue.</t>
  </si>
  <si>
    <t>Yes</t>
  </si>
  <si>
    <t>Data Validation Report</t>
  </si>
  <si>
    <t>Not checked</t>
  </si>
  <si>
    <t>2.2</t>
  </si>
  <si>
    <t>Turkey's ledger contains 'Total Revenue' and 'Gross Profit' summary rows.</t>
  </si>
  <si>
    <t>Main ledger tab, TR01 rows with no account code</t>
  </si>
  <si>
    <t>Remove the summary rows.</t>
  </si>
  <si>
    <t>Otherwise Turkish revenue is counted twice.</t>
  </si>
  <si>
    <t>2.3</t>
  </si>
  <si>
    <t>Months run across the columns instead of down the rows.</t>
  </si>
  <si>
    <t>Tab 09_Operational_KPIs</t>
  </si>
  <si>
    <t>Reshape to one row per month.</t>
  </si>
  <si>
    <t>Needed to calculate trends.</t>
  </si>
  <si>
    <t>2.4</t>
  </si>
  <si>
    <t>Mexico uses one amount column with credits shown as negatives.</t>
  </si>
  <si>
    <t>Tab 'MX01 Ledger (post-acq)'</t>
  </si>
  <si>
    <t>Convert to debit/credit.</t>
  </si>
  <si>
    <t>Otherwise Mexico's books do not balance.</t>
  </si>
  <si>
    <t>2.5</t>
  </si>
  <si>
    <t>Brazil's tab is in thousands of BRL.</t>
  </si>
  <si>
    <t>Tab 'BR01 GL (BRL 000)', title row</t>
  </si>
  <si>
    <t>Multiply by 1,000.</t>
  </si>
  <si>
    <t>Otherwise Brazil is 1,000x too small.</t>
  </si>
  <si>
    <t>2.6</t>
  </si>
  <si>
    <t>A budget cell contains an Excel error (#REF!).</t>
  </si>
  <si>
    <t>05_Budget_Forecast, HQ01, Oct 2025, account 6300</t>
  </si>
  <si>
    <t>Treat as missing, not zero.</t>
  </si>
  <si>
    <t>A zero would create a fake favourable variance.</t>
  </si>
  <si>
    <t>2.7</t>
  </si>
  <si>
    <t>Brazil's April ledger is missing (the bank data has April).</t>
  </si>
  <si>
    <t>BR01 ledger</t>
  </si>
  <si>
    <t>Report the gap; do not estimate it.</t>
  </si>
  <si>
    <t>Inventing a number hides a real data problem.</t>
  </si>
  <si>
    <t>2.8</t>
  </si>
  <si>
    <t>Mixed currencies inside one entity: 5 HQ engineers paid in CAD; HQ has a EUR bank account.</t>
  </si>
  <si>
    <t>Headcount tab; cash tab</t>
  </si>
  <si>
    <t>Translate to USD; translate the EUR account at year-end rate before tying cash to the bank.</t>
  </si>
  <si>
    <t>Otherwise payroll and cash don't reconcile.</t>
  </si>
  <si>
    <t>2.9</t>
  </si>
  <si>
    <t>Marketing account code changes from 6100 to 6110 in July.</t>
  </si>
  <si>
    <t>HQ01 ledger</t>
  </si>
  <si>
    <t>Map both codes to the same line.</t>
  </si>
  <si>
    <t>Otherwise marketing appears to drop to zero mid-year.</t>
  </si>
  <si>
    <t>2.10</t>
  </si>
  <si>
    <t>A 'Period 13' audit adjustment of 85,000 USD (legal accrual).</t>
  </si>
  <si>
    <t>HQ01 ledger, period 2025-13</t>
  </si>
  <si>
    <t>Fold into December and log it.</t>
  </si>
  <si>
    <t>Otherwise the year-end total is wrong.</t>
  </si>
  <si>
    <t>2.11</t>
  </si>
  <si>
    <t>A hidden duplicate cash tab.</t>
  </si>
  <si>
    <t>Hidden tab 'Copy of 02_CashBank_Position'</t>
  </si>
  <si>
    <t>Ignore it.</t>
  </si>
  <si>
    <t>Otherwise HQ cash is counted twice.</t>
  </si>
  <si>
    <t>2.12</t>
  </si>
  <si>
    <t>Forecast entries dated Feb 2026 and one bookings row dated 15 Jan 2026.</t>
  </si>
  <si>
    <t>HQ01 ledger (notes 'FC'); bookings tab</t>
  </si>
  <si>
    <t>Exclude from FY2025 actuals.</t>
  </si>
  <si>
    <t>Forecast mixed into actuals overstates results.</t>
  </si>
  <si>
    <t>D1</t>
  </si>
  <si>
    <t>Date styles differ by country: US MM/DD/YYYY, Europe DD/MM/YYYY and DD.MM.YYYY.</t>
  </si>
  <si>
    <t>Headcount and bookings tabs</t>
  </si>
  <si>
    <t>Detect the style per entity.</t>
  </si>
  <si>
    <t>03/04 could be 3 April or 4 March.</t>
  </si>
  <si>
    <t>D2</t>
  </si>
  <si>
    <t>Account names in German, Portuguese and Spanish.</t>
  </si>
  <si>
    <t>DE01, BR01, MX01 ledgers</t>
  </si>
  <si>
    <t>Map to the standard lines.</t>
  </si>
  <si>
    <t>Otherwise lines land in the wrong place.</t>
  </si>
  <si>
    <t>Needs judgment</t>
  </si>
  <si>
    <t>Model workbook (Taxonomy Map)</t>
  </si>
  <si>
    <t>3.1</t>
  </si>
  <si>
    <t>Group structure</t>
  </si>
  <si>
    <t>Brazil is only 70% owned.</t>
  </si>
  <si>
    <t>Events / ownership info</t>
  </si>
  <si>
    <t>Include 100%, then show the 30% minority share of profit and net assets.</t>
  </si>
  <si>
    <t>Otherwise profit belonging to shareholders is overstated.</t>
  </si>
  <si>
    <t>Model workbook (Ownership &amp; Scope)</t>
  </si>
  <si>
    <t>3.2</t>
  </si>
  <si>
    <t>India is a 40% joint venture with profit &amp; loss data only.</t>
  </si>
  <si>
    <t>JV01 rows</t>
  </si>
  <si>
    <t>Show one line: share of JV profit. Leave it out of revenue, headcount and cash. Adjust the 4.0m USD cost on HQ's books.</t>
  </si>
  <si>
    <t>Adding JV revenue would inflate the group's size.</t>
  </si>
  <si>
    <t>3.4</t>
  </si>
  <si>
    <t>Mexico was bought on 1 Jul 2025.</t>
  </si>
  <si>
    <t>Events tab</t>
  </si>
  <si>
    <t>Include Jul-Dec only. Calculate provisional goodwill; treat 650k deal costs as one-time; record the earn-out as a liability; show organic vs reported growth.</t>
  </si>
  <si>
    <t>Growth would otherwise look much better than it really is.</t>
  </si>
  <si>
    <t>Model workbook (Ownership &amp; Scope); Memo</t>
  </si>
  <si>
    <t>3.5</t>
  </si>
  <si>
    <t>The UK business was sold on 30 Sep 2025.</t>
  </si>
  <si>
    <t>Show as a discontinued operation. The group gain is far smaller than the 3.0m the parent books.</t>
  </si>
  <si>
    <t>Overstated gain and misleading KPIs otherwise.</t>
  </si>
  <si>
    <t>3.6</t>
  </si>
  <si>
    <t>India's financial year starts in April.</t>
  </si>
  <si>
    <t>Align to calendar year and disclose.</t>
  </si>
  <si>
    <t>Otherwise the wrong 12 months are compared.</t>
  </si>
  <si>
    <t>3.7</t>
  </si>
  <si>
    <t>A dormant Cayman holding company with a balance sheet only.</t>
  </si>
  <si>
    <t>HLD1 rows</t>
  </si>
  <si>
    <t>Include its balance sheet; do not expect headcount or budget.</t>
  </si>
  <si>
    <t>Avoids false 'missing data' alarms.</t>
  </si>
  <si>
    <t>G1</t>
  </si>
  <si>
    <t>HQ carries 40.1m USD 'Investment in Subsidiaries'.</t>
  </si>
  <si>
    <t>HQ01 account 1500</t>
  </si>
  <si>
    <t>Eliminate against subsidiary equity.</t>
  </si>
  <si>
    <t>Otherwise group equity is overstated.</t>
  </si>
  <si>
    <t>Model workbook (FX &amp; Consolidation)</t>
  </si>
  <si>
    <t>G2</t>
  </si>
  <si>
    <t>HQ sells goods to Germany and charges Brazil a management fee; December differs by 150,000 EUR of goods in transit.</t>
  </si>
  <si>
    <t>Intercompany tab</t>
  </si>
  <si>
    <t>Remove internal trading; eliminate the lower amount and disclose the difference.</t>
  </si>
  <si>
    <t>Otherwise revenue and costs are inflated.</t>
  </si>
  <si>
    <t>4.1</t>
  </si>
  <si>
    <t>Turkey is a hyperinflationary economy, but no price index is supplied.</t>
  </si>
  <si>
    <t>TR01; FX tab</t>
  </si>
  <si>
    <t>Ask you (LOW question); present Turkey with a 'not restated for hyperinflation' caveat.</t>
  </si>
  <si>
    <t>Turkish figures are misleading without the caveat.</t>
  </si>
  <si>
    <t>Data Validation Report (question)</t>
  </si>
  <si>
    <t>4.2</t>
  </si>
  <si>
    <t>Turkish lira drops 20% in March, then 2.5% a month.</t>
  </si>
  <si>
    <t>FX tab</t>
  </si>
  <si>
    <t>Show results at constant currency to separate FX from performance.</t>
  </si>
  <si>
    <t>Otherwise currency moves look like business decline.</t>
  </si>
  <si>
    <t>Model workbook (Constant Currency)</t>
  </si>
  <si>
    <t>4.3</t>
  </si>
  <si>
    <t>Mexico's August average exchange rate is missing.</t>
  </si>
  <si>
    <t>Use the August month-end rate as a proxy (MEDIUM) and disclose.</t>
  </si>
  <si>
    <t>Shows how gaps are filled transparently.</t>
  </si>
  <si>
    <t>Model workbook (Assumptions log)</t>
  </si>
  <si>
    <t>4.5</t>
  </si>
  <si>
    <t>Turkish cash is subject to capital controls.</t>
  </si>
  <si>
    <t>Cash tab, TR01 note</t>
  </si>
  <si>
    <t>Treat as restricted for group liquidity.</t>
  </si>
  <si>
    <t>That cash can't be used to repay group debt.</t>
  </si>
  <si>
    <t>Model workbook (Liquidity)</t>
  </si>
  <si>
    <t>5.1</t>
  </si>
  <si>
    <t>Liquidity &amp; debt</t>
  </si>
  <si>
    <t>Loan covenant close to breach.</t>
  </si>
  <si>
    <t>08_Debt_Covenants</t>
  </si>
  <si>
    <t>Recompute: about 1.40x vs the 1.50x limit (about 7% headroom). The company reports 1.22x because it leaves the revolver out.</t>
  </si>
  <si>
    <t>A breach can make the loan repayable immediately.</t>
  </si>
  <si>
    <t>Model workbook (Liquidity); Deck slide 1</t>
  </si>
  <si>
    <t>5.2</t>
  </si>
  <si>
    <t>64.3m USD term loan due 30 Jun 2026, no refinancing in the file.</t>
  </si>
  <si>
    <t>Flag as a going-concern indicator.</t>
  </si>
  <si>
    <t>Due within 12 months with no plan to repay.</t>
  </si>
  <si>
    <t>Memo; Deck slide 1</t>
  </si>
  <si>
    <t>5.3</t>
  </si>
  <si>
    <t>5.0m USD revolver draw in November.</t>
  </si>
  <si>
    <t>Cash tab</t>
  </si>
  <si>
    <t>Show separately from operating cash flow.</t>
  </si>
  <si>
    <t>Borrowing can make cash generation look healthier than it is.</t>
  </si>
  <si>
    <t>Model workbook (Cash Flow)</t>
  </si>
  <si>
    <t>5.4</t>
  </si>
  <si>
    <t>Two going-concern indicators together (5.1 + 5.2).</t>
  </si>
  <si>
    <t>-</t>
  </si>
  <si>
    <t>Put them on the deck's first slide and in the memo; list facts, no conclusion.</t>
  </si>
  <si>
    <t>The board must see this first.</t>
  </si>
  <si>
    <t>Deck slide 1; Memo</t>
  </si>
  <si>
    <t>5.5</t>
  </si>
  <si>
    <t>HQ stretches supplier payments from 45 to 80 days (Oct-Dec).</t>
  </si>
  <si>
    <t>HQ01 balance sheet</t>
  </si>
  <si>
    <t>Treat the cash benefit as one-off.</t>
  </si>
  <si>
    <t>Cash will reverse when suppliers are paid.</t>
  </si>
  <si>
    <t>Model workbook; Memo</t>
  </si>
  <si>
    <t>L1</t>
  </si>
  <si>
    <t>1.5m USD of HQ cash is held as collateral for a letter of credit.</t>
  </si>
  <si>
    <t>Exclude from available cash and runway.</t>
  </si>
  <si>
    <t>That cash can't be spent.</t>
  </si>
  <si>
    <t>6.1</t>
  </si>
  <si>
    <t>Earnings quality</t>
  </si>
  <si>
    <t>One-time items: deal costs, disposal gain, Germany restructuring.</t>
  </si>
  <si>
    <t>Ledgers; events tab</t>
  </si>
  <si>
    <t>Build an Adjusted EBITDA bridge starting from the reported figure.</t>
  </si>
  <si>
    <t>Separates underlying performance from one-offs.</t>
  </si>
  <si>
    <t>Model workbook (Adjustments bridge)</t>
  </si>
  <si>
    <t>6.1b</t>
  </si>
  <si>
    <t>300k USD earn-out revaluation in December, not tagged as one-time.</t>
  </si>
  <si>
    <t>HQ01 account 7920</t>
  </si>
  <si>
    <t>Treat as one-time per policy and log it.</t>
  </si>
  <si>
    <t>Tests whether the review applies policy, not just tags.</t>
  </si>
  <si>
    <t>6.2</t>
  </si>
  <si>
    <t>'One-time' restructuring of 120k USD in Feb, May, Aug and Nov (480k total).</t>
  </si>
  <si>
    <t>HQ01 account 7900</t>
  </si>
  <si>
    <t>Flag as recurring; show Adjusted EBITDA with and without it.</t>
  </si>
  <si>
    <t>A cost that happens every quarter is not one-time.</t>
  </si>
  <si>
    <t>Model workbook; Memo (Earnings Quality)</t>
  </si>
  <si>
    <t>6.3</t>
  </si>
  <si>
    <t>December revenue pulled forward (bill-and-hold, +35%); customers paying slower (45 to 60 days).</t>
  </si>
  <si>
    <t>HQ01 revenue and receivables</t>
  </si>
  <si>
    <t>Flag it; never change reported revenue.</t>
  </si>
  <si>
    <t>Next year starts with a revenue hole.</t>
  </si>
  <si>
    <t>Model workbook (Red Flags); Memo</t>
  </si>
  <si>
    <t>6.4</t>
  </si>
  <si>
    <t>Capitalised development jumps from 150k to 400k USD a month in H2 while R&amp;D staff stay flat.</t>
  </si>
  <si>
    <t>HQ01 ledger; headcount</t>
  </si>
  <si>
    <t>Show costs as reported and with capitalisation added back.</t>
  </si>
  <si>
    <t>Costs moved to the balance sheet flatter profit.</t>
  </si>
  <si>
    <t>6.5</t>
  </si>
  <si>
    <t>Hidden 600k EUR warranty provision release in Germany in November (not disclosed).</t>
  </si>
  <si>
    <t>DE01 warranty expense</t>
  </si>
  <si>
    <t>Find it, quantify it, show margin with and without.</t>
  </si>
  <si>
    <t>It props up Germany's profit.</t>
  </si>
  <si>
    <t>6.6</t>
  </si>
  <si>
    <t>A customer is a related party (Halcyon Family Trust Ltd).</t>
  </si>
  <si>
    <t>Bookings tab</t>
  </si>
  <si>
    <t>Disclose.</t>
  </si>
  <si>
    <t>Related-party sales may not be at arm's length.</t>
  </si>
  <si>
    <t>Memo</t>
  </si>
  <si>
    <t>7a</t>
  </si>
  <si>
    <t>Revenue &amp; customers</t>
  </si>
  <si>
    <t>HQ deferred revenue falls about 50% while service revenue looks flat.</t>
  </si>
  <si>
    <t>Flag as an early churn warning.</t>
  </si>
  <si>
    <t>Future revenue is drying up.</t>
  </si>
  <si>
    <t>7b</t>
  </si>
  <si>
    <t>Atlas Automotive is about 16% of bookings.</t>
  </si>
  <si>
    <t>Flag concentration above the 15% threshold.</t>
  </si>
  <si>
    <t>Losing one customer would hurt badly.</t>
  </si>
  <si>
    <t>Model workbook (Red Flags); Deck</t>
  </si>
  <si>
    <t>7c</t>
  </si>
  <si>
    <t>Germany loses Nordwerk GmbH, a 900k EUR customer, in August.</t>
  </si>
  <si>
    <t>Tell the story in the revenue bridge.</t>
  </si>
  <si>
    <t>Explains Germany's revenue drop.</t>
  </si>
  <si>
    <t>Model workbook (Revenue Drivers); Memo</t>
  </si>
  <si>
    <t>8a</t>
  </si>
  <si>
    <t>Balance sheet</t>
  </si>
  <si>
    <t>HQ inventory days rise from 70 to 120 in H2; HQ uses LIFO, others FIFO.</t>
  </si>
  <si>
    <t>Flag obsolescence risk; note inventory isn't comparable across entities.</t>
  </si>
  <si>
    <t>Possible write-down ahead.</t>
  </si>
  <si>
    <t>Model workbook (Red Flags)</t>
  </si>
  <si>
    <t>8b</t>
  </si>
  <si>
    <t>Turkey is loss-making with no tax benefit recorded.</t>
  </si>
  <si>
    <t>Flag as an impairment trigger.</t>
  </si>
  <si>
    <t>Asset values may need writing down.</t>
  </si>
  <si>
    <t>1a</t>
  </si>
  <si>
    <t>Payroll</t>
  </si>
  <si>
    <t>Germany's ledger salaries are 1.21x the staff list (employer social charges).</t>
  </si>
  <si>
    <t>DE01 ledger vs headcount tab</t>
  </si>
  <si>
    <t>Ledger wins; disclose the explained difference.</t>
  </si>
  <si>
    <t>Shows payroll ties when properly explained.</t>
  </si>
  <si>
    <t>Data Validation Report; Model workbook</t>
  </si>
  <si>
    <t>1b</t>
  </si>
  <si>
    <t>Turkey's staff list is a January snapshot; ledger salaries rise 4.5% a month.</t>
  </si>
  <si>
    <t>TR01 ledger vs headcount tab</t>
  </si>
  <si>
    <t>Ledger wins.</t>
  </si>
  <si>
    <t>Avoids a false payroll mismatch alarm.</t>
  </si>
  <si>
    <t>Model workbook</t>
  </si>
  <si>
    <t>9.1</t>
  </si>
  <si>
    <t>Budget</t>
  </si>
  <si>
    <t>HQ has an original budget and a July reforecast.</t>
  </si>
  <si>
    <t>05_Budget_Forecast</t>
  </si>
  <si>
    <t>Compare actuals with both.</t>
  </si>
  <si>
    <t>Shows whether the reforecast was realistic.</t>
  </si>
  <si>
    <t>Model workbook (Income Statement); Deck</t>
  </si>
  <si>
    <t>9.2</t>
  </si>
  <si>
    <t>Germany's budget is in USD at a fixed 1.05 rate.</t>
  </si>
  <si>
    <t>Compare at the budget rate and show FX separately.</t>
  </si>
  <si>
    <t>Separates FX from performance.</t>
  </si>
  <si>
    <t>9.4a</t>
  </si>
  <si>
    <t>HQ budget still uses the old marketing code 6100 all year.</t>
  </si>
  <si>
    <t>Map July-Dec 6110 actuals onto it.</t>
  </si>
  <si>
    <t>Otherwise a false variance.</t>
  </si>
  <si>
    <t>9.4b</t>
  </si>
  <si>
    <t>UK budget runs to December though the UK was sold in September.</t>
  </si>
  <si>
    <t>Compare Jan-Sep only.</t>
  </si>
  <si>
    <t>Otherwise a fake Oct-Dec shortfall.</t>
  </si>
  <si>
    <t>9.4c</t>
  </si>
  <si>
    <t>Turkey's budget is at January prices despite high inflation.</t>
  </si>
  <si>
    <t>Say variances are mostly inflation, not performance.</t>
  </si>
  <si>
    <t>Avoids misreading Turkey's results.</t>
  </si>
  <si>
    <t>9.4d</t>
  </si>
  <si>
    <t>No budget for Mexico, the India JV, or Cayman.</t>
  </si>
  <si>
    <t>Compare like-for-like entities only.</t>
  </si>
  <si>
    <t>Avoids fake variances.</t>
  </si>
  <si>
    <t>B1</t>
  </si>
  <si>
    <t>HQ sales &amp; marketing salaries were budgeted at only 85% of the staff list.</t>
  </si>
  <si>
    <t>05_Budget_Forecast; headcount tab</t>
  </si>
  <si>
    <t>Report a real overrun of about 18%.</t>
  </si>
  <si>
    <t>A genuine budgeting problem, not a data issue.</t>
  </si>
  <si>
    <t>Model workbook; Deck</t>
  </si>
  <si>
    <t>Figures a correct review should reproduce</t>
  </si>
  <si>
    <t>Type the review's figure into the yellow column. Within tolerance = PASS. Small rounding differences are normal.</t>
  </si>
  <si>
    <t>Figure</t>
  </si>
  <si>
    <t>Expected</t>
  </si>
  <si>
    <t>Unit</t>
  </si>
  <si>
    <t>Your run's figure</t>
  </si>
  <si>
    <t>Difference</t>
  </si>
  <si>
    <t>Result</t>
  </si>
  <si>
    <t>Tolerance</t>
  </si>
  <si>
    <t>What it means</t>
  </si>
  <si>
    <t>Debt &amp; covenants</t>
  </si>
  <si>
    <t>Group Adjusted EBITDA, FY2025</t>
  </si>
  <si>
    <t>0.5%</t>
  </si>
  <si>
    <t>Earnings before interest, tax, depreciation, amortisation and one-offs, as used in the covenant test.</t>
  </si>
  <si>
    <t>Unrestricted cash, 31 Dec 2025</t>
  </si>
  <si>
    <t>Cash the group can actually use (excludes collateral and trapped Turkish cash).</t>
  </si>
  <si>
    <t>Term loan outstanding</t>
  </si>
  <si>
    <t>Main bank loan, due 30 Jun 2026.</t>
  </si>
  <si>
    <t>Revolver drawn, 31 Dec 2025</t>
  </si>
  <si>
    <t>Credit line drawn in November.</t>
  </si>
  <si>
    <t>Net debt including revolver</t>
  </si>
  <si>
    <t>Total borrowing less usable cash.</t>
  </si>
  <si>
    <t>Net leverage, recomputed</t>
  </si>
  <si>
    <t>x</t>
  </si>
  <si>
    <t>0.02</t>
  </si>
  <si>
    <t>Net debt / Adjusted EBITDA. Must be at or below the limit.</t>
  </si>
  <si>
    <t>Net leverage limit (covenant)</t>
  </si>
  <si>
    <t>Maximum allowed by the loan agreement.</t>
  </si>
  <si>
    <t>Headroom to the limit</t>
  </si>
  <si>
    <t>%</t>
  </si>
  <si>
    <t>0.5</t>
  </si>
  <si>
    <t>How far below the limit. Under 15% is a red flag.</t>
  </si>
  <si>
    <t>Net leverage as reported by the company</t>
  </si>
  <si>
    <t>Lower because the company leaves the revolver out of net debt. The review should flag the difference.</t>
  </si>
  <si>
    <t>Interest cover, recomputed</t>
  </si>
  <si>
    <t>0.05</t>
  </si>
  <si>
    <t>EBITDA / interest expense.</t>
  </si>
  <si>
    <t>Mexico acquisition</t>
  </si>
  <si>
    <t>Total price paid</t>
  </si>
  <si>
    <t>Cash plus earn-out.</t>
  </si>
  <si>
    <t>Cash paid</t>
  </si>
  <si>
    <t>Earn-out (fair value at deal)</t>
  </si>
  <si>
    <t>Future payment if targets are met; a liability.</t>
  </si>
  <si>
    <t>Net assets acquired (at 30 Jun rate)</t>
  </si>
  <si>
    <t>Book value of what was bought.</t>
  </si>
  <si>
    <t>Provisional goodwill</t>
  </si>
  <si>
    <t>Price paid above net assets.</t>
  </si>
  <si>
    <t>Deal costs (one-time)</t>
  </si>
  <si>
    <t>Expensed, added back in Adjusted EBITDA.</t>
  </si>
  <si>
    <t>Earn-out revaluation in December</t>
  </si>
  <si>
    <t>Treated as one-time.</t>
  </si>
  <si>
    <t>Mexico net income since acquisition (Jul-Dec)</t>
  </si>
  <si>
    <t>UK disposal</t>
  </si>
  <si>
    <t>Sale proceeds</t>
  </si>
  <si>
    <t>Gain on HQ's own books</t>
  </si>
  <si>
    <t>Proceeds less the original investment cost. NOT the group figure.</t>
  </si>
  <si>
    <t>UK net assets at 30 Sep</t>
  </si>
  <si>
    <t>Group gain on disposal (before currency recycling)</t>
  </si>
  <si>
    <t>Proceeds less UK net assets. Far smaller than the HQ book gain.</t>
  </si>
  <si>
    <t>UK net income Jan-Sep</t>
  </si>
  <si>
    <t>Shown under discontinued operations.</t>
  </si>
  <si>
    <t>Brazil (70% owned)</t>
  </si>
  <si>
    <t>Brazil net income, full year</t>
  </si>
  <si>
    <t>Includes April, which is missing from the ledger export.</t>
  </si>
  <si>
    <t>Minority (30%) share of Brazil profit</t>
  </si>
  <si>
    <t>Belongs to the other shareholders.</t>
  </si>
  <si>
    <t>Brazil April net income missing from the file</t>
  </si>
  <si>
    <t>The review should report the gap, not fill it.</t>
  </si>
  <si>
    <t>India JV (40%)</t>
  </si>
  <si>
    <t>Group share of JV profit</t>
  </si>
  <si>
    <t>One line in the P&amp;L; no JV revenue in group revenue.</t>
  </si>
  <si>
    <t>HQ items</t>
  </si>
  <si>
    <t>Recurring 'one-time' restructuring (4 x 120k)</t>
  </si>
  <si>
    <t>December revenue pulled forward</t>
  </si>
  <si>
    <t>Flag only; never deducted from revenue.</t>
  </si>
  <si>
    <t>Period 13 audit adjustment</t>
  </si>
  <si>
    <t>Folded into December.</t>
  </si>
  <si>
    <t>Investment in subsidiaries (eliminated)</t>
  </si>
  <si>
    <t>Investment in JV at cost</t>
  </si>
  <si>
    <t>Replaced by equity-method value.</t>
  </si>
  <si>
    <t>Germany items</t>
  </si>
  <si>
    <t>Hidden warranty provision release (Nov)</t>
  </si>
  <si>
    <t>Intercompany goods in transit (Dec)</t>
  </si>
  <si>
    <t>Turkey items</t>
  </si>
  <si>
    <t>Turkey net income, FY2025</t>
  </si>
  <si>
    <t>Loss.</t>
  </si>
  <si>
    <t>Customers</t>
  </si>
  <si>
    <t>Atlas Automotive share of gross bookings</t>
  </si>
  <si>
    <t>share</t>
  </si>
  <si>
    <t>0.01</t>
  </si>
  <si>
    <t>Above the 15% concentration threshold.</t>
  </si>
  <si>
    <t>Tolerance: a % is relative to the expected figure; a plain number is an absolute difference. Currency amounts use the test file's own exchange rates.</t>
  </si>
  <si>
    <t>Scorecard</t>
  </si>
  <si>
    <t>Calculated from your entries on 'Issues Checklist' and 'Key Numbers'.</t>
  </si>
  <si>
    <t>Planted issues</t>
  </si>
  <si>
    <t>Count</t>
  </si>
  <si>
    <t>Total planted issues</t>
  </si>
  <si>
    <t>Found</t>
  </si>
  <si>
    <t>Partly</t>
  </si>
  <si>
    <t>Missed</t>
  </si>
  <si>
    <t>Not checked yet</t>
  </si>
  <si>
    <t>Score (Found = 1, Partly = 0.5) as % of checked</t>
  </si>
  <si>
    <t>Auto-detectable issues missed (should be 0)</t>
  </si>
  <si>
    <t>Key numbers</t>
  </si>
  <si>
    <t>Figures to check</t>
  </si>
  <si>
    <t>PASS</t>
  </si>
  <si>
    <t>CHECK (outside tolerance)</t>
  </si>
  <si>
    <t>Not entered yet</t>
  </si>
  <si>
    <t>The four must-haves for a good run</t>
  </si>
  <si>
    <t>Met?</t>
  </si>
  <si>
    <t>1. Every 'Caught automatically = Yes' issue appears in the Data Validation Report</t>
  </si>
  <si>
    <t>2. The Turkey hyperinflation index is raised as a LOW-confidence question at the checkpoint</t>
  </si>
  <si>
    <t>3. Key Numbers match within tolerance</t>
  </si>
  <si>
    <t>4. Deck slide 1 leads with the covenant near-breach and the June 2026 loan maturity</t>
  </si>
  <si>
    <t>Overall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</si>
</sst>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0&quot;x&quot;"/>
    <numFmt numFmtId="166" formatCode="0.0&quot;%&quot;"/>
  </numFmts>
  <fonts count="6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1"/>
      <color rgb="FF59595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6" fontId="5" fillId="5" borderId="1" xfId="0" applyNumberFormat="1" applyFont="1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9" fontId="5" fillId="5" borderId="1" xfId="0" applyNumberFormat="1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7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22"/>
  <sheetViews>
    <sheetView showGridLines="0" tabSelected="1" workbookViewId="0"/>
  </sheetViews>
  <sheetFormatPr defaultRowHeight="14.4" x14ac:dyDescent="0.3"/>
  <cols>
    <col min="1" max="1" width="110" customWidth="1"/>
  </cols>
  <sheetData>
    <row r="1" spans="1:1" ht="21" x14ac:dyDescent="0.4">
      <c r="A1" s="1" t="s">
        <v>0</v>
      </c>
    </row>
    <row r="2" spans="1:1" x14ac:dyDescent="0.3">
      <c r="A2" s="2" t="s">
        <v>1</v>
      </c>
    </row>
    <row r="4" spans="1:1" x14ac:dyDescent="0.3">
      <c r="A4" s="3" t="s">
        <v>2</v>
      </c>
    </row>
    <row r="5" spans="1:1" ht="57.6" x14ac:dyDescent="0.3">
      <c r="A5" s="4" t="s">
        <v>3</v>
      </c>
    </row>
    <row r="6" spans="1:1" ht="28.8" x14ac:dyDescent="0.3">
      <c r="A6" s="5" t="s">
        <v>4</v>
      </c>
    </row>
    <row r="7" spans="1:1" x14ac:dyDescent="0.3">
      <c r="A7" s="3" t="s">
        <v>5</v>
      </c>
    </row>
    <row r="8" spans="1:1" x14ac:dyDescent="0.3">
      <c r="A8" s="4" t="s">
        <v>6</v>
      </c>
    </row>
    <row r="9" spans="1:1" ht="28.8" x14ac:dyDescent="0.3">
      <c r="A9" s="4" t="s">
        <v>7</v>
      </c>
    </row>
    <row r="10" spans="1:1" ht="28.8" x14ac:dyDescent="0.3">
      <c r="A10" s="4" t="s">
        <v>8</v>
      </c>
    </row>
    <row r="11" spans="1:1" x14ac:dyDescent="0.3">
      <c r="A11" s="3" t="s">
        <v>9</v>
      </c>
    </row>
    <row r="12" spans="1:1" x14ac:dyDescent="0.3">
      <c r="A12" s="4" t="s">
        <v>10</v>
      </c>
    </row>
    <row r="13" spans="1:1" x14ac:dyDescent="0.3">
      <c r="A13" s="4" t="s">
        <v>11</v>
      </c>
    </row>
    <row r="14" spans="1:1" x14ac:dyDescent="0.3">
      <c r="A14" s="4" t="s">
        <v>12</v>
      </c>
    </row>
    <row r="15" spans="1:1" x14ac:dyDescent="0.3">
      <c r="A15" s="4" t="s">
        <v>13</v>
      </c>
    </row>
    <row r="16" spans="1:1" x14ac:dyDescent="0.3">
      <c r="A16" s="4" t="s">
        <v>14</v>
      </c>
    </row>
    <row r="17" spans="1:1" x14ac:dyDescent="0.3">
      <c r="A17" s="4" t="s">
        <v>15</v>
      </c>
    </row>
    <row r="18" spans="1:1" x14ac:dyDescent="0.3">
      <c r="A18" s="3" t="s">
        <v>16</v>
      </c>
    </row>
    <row r="19" spans="1:1" ht="28.8" x14ac:dyDescent="0.3">
      <c r="A19" s="4" t="s">
        <v>17</v>
      </c>
    </row>
    <row r="20" spans="1:1" ht="28.8" x14ac:dyDescent="0.3">
      <c r="A20" s="4" t="s">
        <v>18</v>
      </c>
    </row>
    <row r="21" spans="1:1" x14ac:dyDescent="0.3">
      <c r="A21" s="3" t="s">
        <v>19</v>
      </c>
    </row>
    <row r="22" spans="1:1" ht="43.2" x14ac:dyDescent="0.3">
      <c r="A22" s="4" t="s">
        <v>20</v>
      </c>
    </row>
  </sheetData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" customWidth="1"/>
    <col min="2" max="2" width="34" customWidth="1"/>
    <col min="3" max="3" width="20" customWidth="1"/>
    <col min="4" max="4" width="50" customWidth="1"/>
    <col min="5" max="6" width="45" customWidth="1"/>
  </cols>
  <sheetData>
    <row r="1" spans="1:6" ht="21" x14ac:dyDescent="0.4">
      <c r="A1" s="1" t="s">
        <v>21</v>
      </c>
    </row>
    <row r="2" spans="1:6" x14ac:dyDescent="0.3">
      <c r="A2" s="2" t="s">
        <v>22</v>
      </c>
    </row>
    <row r="4" spans="1:6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</row>
    <row r="5" spans="1:6" ht="43.2" x14ac:dyDescent="0.3">
      <c r="A5" s="7">
        <v>1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</row>
    <row r="6" spans="1:6" ht="72" x14ac:dyDescent="0.3">
      <c r="A6" s="7">
        <v>2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</row>
    <row r="7" spans="1:6" ht="43.2" x14ac:dyDescent="0.3">
      <c r="A7" s="7">
        <v>3</v>
      </c>
      <c r="B7" s="7" t="s">
        <v>39</v>
      </c>
      <c r="C7" s="7" t="s">
        <v>40</v>
      </c>
      <c r="D7" s="7" t="s">
        <v>41</v>
      </c>
      <c r="E7" s="7" t="s">
        <v>42</v>
      </c>
      <c r="F7" s="7" t="s">
        <v>43</v>
      </c>
    </row>
    <row r="8" spans="1:6" ht="57.6" x14ac:dyDescent="0.3">
      <c r="A8" s="7">
        <v>4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48</v>
      </c>
    </row>
    <row r="9" spans="1:6" ht="43.2" x14ac:dyDescent="0.3">
      <c r="A9" s="7">
        <v>5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53</v>
      </c>
    </row>
    <row r="11" spans="1:6" x14ac:dyDescent="0.3">
      <c r="B11" t="s">
        <v>54</v>
      </c>
    </row>
    <row r="12" spans="1:6" x14ac:dyDescent="0.3">
      <c r="B12" t="s">
        <v>55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2" width="55" customWidth="1"/>
    <col min="3" max="3" width="32" customWidth="1"/>
    <col min="4" max="4" width="55" customWidth="1"/>
  </cols>
  <sheetData>
    <row r="1" spans="1:4" ht="21" x14ac:dyDescent="0.4">
      <c r="A1" s="1" t="s">
        <v>56</v>
      </c>
    </row>
    <row r="2" spans="1:4" x14ac:dyDescent="0.3">
      <c r="A2" s="2" t="s">
        <v>57</v>
      </c>
    </row>
    <row r="4" spans="1:4" x14ac:dyDescent="0.3">
      <c r="A4" s="6" t="s">
        <v>58</v>
      </c>
      <c r="B4" s="6" t="s">
        <v>59</v>
      </c>
      <c r="C4" s="6" t="s">
        <v>60</v>
      </c>
      <c r="D4" s="6" t="s">
        <v>61</v>
      </c>
    </row>
    <row r="5" spans="1:4" ht="43.2" x14ac:dyDescent="0.3">
      <c r="A5" s="7" t="s">
        <v>62</v>
      </c>
      <c r="B5" s="7" t="s">
        <v>63</v>
      </c>
      <c r="C5" s="7" t="s">
        <v>64</v>
      </c>
      <c r="D5" s="7" t="s">
        <v>65</v>
      </c>
    </row>
    <row r="6" spans="1:4" ht="43.2" x14ac:dyDescent="0.3">
      <c r="A6" s="7" t="s">
        <v>66</v>
      </c>
      <c r="B6" s="7" t="s">
        <v>67</v>
      </c>
      <c r="C6" s="7" t="s">
        <v>68</v>
      </c>
      <c r="D6" s="7" t="s">
        <v>69</v>
      </c>
    </row>
    <row r="7" spans="1:4" ht="28.8" x14ac:dyDescent="0.3">
      <c r="A7" s="7" t="s">
        <v>70</v>
      </c>
      <c r="B7" s="7" t="s">
        <v>71</v>
      </c>
      <c r="C7" s="7" t="s">
        <v>68</v>
      </c>
      <c r="D7" s="7" t="s">
        <v>72</v>
      </c>
    </row>
    <row r="8" spans="1:4" ht="43.2" x14ac:dyDescent="0.3">
      <c r="A8" s="7" t="s">
        <v>73</v>
      </c>
      <c r="B8" s="7" t="s">
        <v>74</v>
      </c>
      <c r="C8" s="7" t="s">
        <v>75</v>
      </c>
      <c r="D8" s="7" t="s">
        <v>76</v>
      </c>
    </row>
    <row r="9" spans="1:4" ht="43.2" x14ac:dyDescent="0.3">
      <c r="A9" s="7" t="s">
        <v>77</v>
      </c>
      <c r="B9" s="7" t="s">
        <v>78</v>
      </c>
      <c r="C9" s="7" t="s">
        <v>68</v>
      </c>
      <c r="D9" s="7" t="s">
        <v>79</v>
      </c>
    </row>
    <row r="10" spans="1:4" ht="43.2" x14ac:dyDescent="0.3">
      <c r="A10" s="7" t="s">
        <v>80</v>
      </c>
      <c r="B10" s="7" t="s">
        <v>81</v>
      </c>
      <c r="C10" s="7" t="s">
        <v>68</v>
      </c>
      <c r="D10" s="7" t="s">
        <v>82</v>
      </c>
    </row>
    <row r="11" spans="1:4" ht="28.8" x14ac:dyDescent="0.3">
      <c r="A11" s="7" t="s">
        <v>83</v>
      </c>
      <c r="B11" s="7" t="s">
        <v>84</v>
      </c>
      <c r="C11" s="7" t="s">
        <v>68</v>
      </c>
      <c r="D11" s="7" t="s">
        <v>85</v>
      </c>
    </row>
    <row r="12" spans="1:4" ht="28.8" x14ac:dyDescent="0.3">
      <c r="A12" s="7" t="s">
        <v>86</v>
      </c>
      <c r="B12" s="7" t="s">
        <v>87</v>
      </c>
      <c r="C12" s="7" t="s">
        <v>68</v>
      </c>
      <c r="D12" s="7" t="s">
        <v>88</v>
      </c>
    </row>
    <row r="13" spans="1:4" ht="28.8" x14ac:dyDescent="0.3">
      <c r="A13" s="7" t="s">
        <v>89</v>
      </c>
      <c r="B13" s="7" t="s">
        <v>90</v>
      </c>
      <c r="C13" s="7" t="s">
        <v>91</v>
      </c>
      <c r="D13" s="7" t="s">
        <v>92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2"/>
  <sheetViews>
    <sheetView showGridLines="0" workbookViewId="0"/>
  </sheetViews>
  <sheetFormatPr defaultRowHeight="14.4" x14ac:dyDescent="0.3"/>
  <cols>
    <col min="1" max="1" width="9" customWidth="1"/>
    <col min="2" max="2" width="16" customWidth="1"/>
    <col min="3" max="3" width="10" customWidth="1"/>
    <col min="4" max="4" width="18" customWidth="1"/>
    <col min="5" max="5" width="38" customWidth="1"/>
    <col min="6" max="6" width="22" customWidth="1"/>
    <col min="7" max="7" width="60" customWidth="1"/>
  </cols>
  <sheetData>
    <row r="1" spans="1:7" ht="21" x14ac:dyDescent="0.4">
      <c r="A1" s="1" t="s">
        <v>93</v>
      </c>
    </row>
    <row r="2" spans="1:7" x14ac:dyDescent="0.3">
      <c r="A2" s="2" t="s">
        <v>94</v>
      </c>
    </row>
    <row r="4" spans="1:7" ht="28.8" x14ac:dyDescent="0.3">
      <c r="A4" s="6" t="s">
        <v>95</v>
      </c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101</v>
      </c>
    </row>
    <row r="5" spans="1:7" ht="28.8" x14ac:dyDescent="0.3">
      <c r="A5" s="7" t="s">
        <v>102</v>
      </c>
      <c r="B5" s="7" t="s">
        <v>103</v>
      </c>
      <c r="C5" s="7" t="s">
        <v>104</v>
      </c>
      <c r="D5" s="7" t="s">
        <v>105</v>
      </c>
      <c r="E5" s="7" t="s">
        <v>106</v>
      </c>
      <c r="F5" s="8">
        <v>9216536</v>
      </c>
      <c r="G5" s="7" t="s">
        <v>107</v>
      </c>
    </row>
    <row r="6" spans="1:7" ht="28.8" x14ac:dyDescent="0.3">
      <c r="A6" s="7" t="s">
        <v>108</v>
      </c>
      <c r="B6" s="7" t="s">
        <v>109</v>
      </c>
      <c r="C6" s="7" t="s">
        <v>110</v>
      </c>
      <c r="D6" s="7" t="s">
        <v>111</v>
      </c>
      <c r="E6" s="7" t="s">
        <v>112</v>
      </c>
      <c r="F6" s="8">
        <v>1256484</v>
      </c>
      <c r="G6" s="7" t="s">
        <v>113</v>
      </c>
    </row>
    <row r="7" spans="1:7" ht="28.8" x14ac:dyDescent="0.3">
      <c r="A7" s="7" t="s">
        <v>114</v>
      </c>
      <c r="B7" s="7" t="s">
        <v>115</v>
      </c>
      <c r="C7" s="7" t="s">
        <v>116</v>
      </c>
      <c r="D7" s="7" t="s">
        <v>111</v>
      </c>
      <c r="E7" s="7" t="s">
        <v>117</v>
      </c>
      <c r="F7" s="8">
        <v>10901798</v>
      </c>
      <c r="G7" s="7" t="s">
        <v>118</v>
      </c>
    </row>
    <row r="8" spans="1:7" x14ac:dyDescent="0.3">
      <c r="A8" s="7" t="s">
        <v>119</v>
      </c>
      <c r="B8" s="7" t="s">
        <v>120</v>
      </c>
      <c r="C8" s="7" t="s">
        <v>121</v>
      </c>
      <c r="D8" s="7" t="s">
        <v>111</v>
      </c>
      <c r="E8" s="7" t="s">
        <v>112</v>
      </c>
      <c r="F8" s="8">
        <v>-41522199</v>
      </c>
      <c r="G8" s="7" t="s">
        <v>122</v>
      </c>
    </row>
    <row r="9" spans="1:7" x14ac:dyDescent="0.3">
      <c r="A9" s="7" t="s">
        <v>123</v>
      </c>
      <c r="B9" s="7" t="s">
        <v>124</v>
      </c>
      <c r="C9" s="7" t="s">
        <v>125</v>
      </c>
      <c r="D9" s="7" t="s">
        <v>111</v>
      </c>
      <c r="E9" s="7" t="s">
        <v>126</v>
      </c>
      <c r="F9" s="8">
        <v>19918441</v>
      </c>
      <c r="G9" s="7" t="s">
        <v>127</v>
      </c>
    </row>
    <row r="10" spans="1:7" x14ac:dyDescent="0.3">
      <c r="A10" s="7" t="s">
        <v>128</v>
      </c>
      <c r="B10" s="7" t="s">
        <v>129</v>
      </c>
      <c r="C10" s="7" t="s">
        <v>130</v>
      </c>
      <c r="D10" s="7" t="s">
        <v>111</v>
      </c>
      <c r="E10" s="7" t="s">
        <v>131</v>
      </c>
      <c r="F10" s="8">
        <v>2027763</v>
      </c>
      <c r="G10" s="7" t="s">
        <v>132</v>
      </c>
    </row>
    <row r="11" spans="1:7" x14ac:dyDescent="0.3">
      <c r="A11" s="7" t="s">
        <v>133</v>
      </c>
      <c r="B11" s="7" t="s">
        <v>134</v>
      </c>
      <c r="C11" s="7" t="s">
        <v>135</v>
      </c>
      <c r="D11" s="7" t="s">
        <v>136</v>
      </c>
      <c r="E11" s="7" t="s">
        <v>137</v>
      </c>
      <c r="F11" s="8">
        <v>255712636</v>
      </c>
      <c r="G11" s="7" t="s">
        <v>138</v>
      </c>
    </row>
    <row r="12" spans="1:7" x14ac:dyDescent="0.3">
      <c r="A12" s="7" t="s">
        <v>139</v>
      </c>
      <c r="B12" s="7" t="s">
        <v>140</v>
      </c>
      <c r="C12" s="7" t="s">
        <v>104</v>
      </c>
      <c r="D12" s="7" t="s">
        <v>105</v>
      </c>
      <c r="E12" s="7" t="s">
        <v>112</v>
      </c>
      <c r="F12" s="8">
        <v>0</v>
      </c>
      <c r="G12" s="7" t="s">
        <v>141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42" customWidth="1"/>
    <col min="4" max="4" width="28" customWidth="1"/>
    <col min="5" max="5" width="46" customWidth="1"/>
    <col min="6" max="6" width="32" customWidth="1"/>
    <col min="7" max="7" width="14" customWidth="1"/>
    <col min="8" max="8" width="30" customWidth="1"/>
    <col min="9" max="9" width="13" customWidth="1"/>
    <col min="10" max="10" width="28" customWidth="1"/>
  </cols>
  <sheetData>
    <row r="1" spans="1:10" ht="21" x14ac:dyDescent="0.4">
      <c r="A1" s="1" t="s">
        <v>142</v>
      </c>
    </row>
    <row r="2" spans="1:10" x14ac:dyDescent="0.3">
      <c r="A2" s="2" t="s">
        <v>143</v>
      </c>
    </row>
    <row r="4" spans="1:10" ht="28.8" x14ac:dyDescent="0.3">
      <c r="A4" s="6" t="s">
        <v>144</v>
      </c>
      <c r="B4" s="6" t="s">
        <v>145</v>
      </c>
      <c r="C4" s="6" t="s">
        <v>146</v>
      </c>
      <c r="D4" s="6" t="s">
        <v>147</v>
      </c>
      <c r="E4" s="6" t="s">
        <v>148</v>
      </c>
      <c r="F4" s="6" t="s">
        <v>149</v>
      </c>
      <c r="G4" s="6" t="s">
        <v>150</v>
      </c>
      <c r="H4" s="6" t="s">
        <v>151</v>
      </c>
      <c r="I4" s="6" t="s">
        <v>152</v>
      </c>
      <c r="J4" s="6" t="s">
        <v>153</v>
      </c>
    </row>
    <row r="5" spans="1:10" ht="28.8" x14ac:dyDescent="0.3">
      <c r="A5" s="7" t="s">
        <v>154</v>
      </c>
      <c r="B5" s="7" t="s">
        <v>155</v>
      </c>
      <c r="C5" s="7" t="s">
        <v>156</v>
      </c>
      <c r="D5" s="7" t="s">
        <v>157</v>
      </c>
      <c r="E5" s="7" t="s">
        <v>158</v>
      </c>
      <c r="F5" s="7" t="s">
        <v>159</v>
      </c>
      <c r="G5" s="7" t="s">
        <v>160</v>
      </c>
      <c r="H5" s="7" t="s">
        <v>161</v>
      </c>
      <c r="I5" s="9" t="s">
        <v>162</v>
      </c>
      <c r="J5" s="10"/>
    </row>
    <row r="6" spans="1:10" ht="28.8" x14ac:dyDescent="0.3">
      <c r="A6" s="7" t="s">
        <v>163</v>
      </c>
      <c r="B6" s="7" t="s">
        <v>155</v>
      </c>
      <c r="C6" s="7" t="s">
        <v>164</v>
      </c>
      <c r="D6" s="7" t="s">
        <v>165</v>
      </c>
      <c r="E6" s="7" t="s">
        <v>166</v>
      </c>
      <c r="F6" s="7" t="s">
        <v>167</v>
      </c>
      <c r="G6" s="7" t="s">
        <v>160</v>
      </c>
      <c r="H6" s="7" t="s">
        <v>161</v>
      </c>
      <c r="I6" s="9" t="s">
        <v>162</v>
      </c>
      <c r="J6" s="10"/>
    </row>
    <row r="7" spans="1:10" ht="28.8" x14ac:dyDescent="0.3">
      <c r="A7" s="7" t="s">
        <v>168</v>
      </c>
      <c r="B7" s="7" t="s">
        <v>155</v>
      </c>
      <c r="C7" s="7" t="s">
        <v>169</v>
      </c>
      <c r="D7" s="7" t="s">
        <v>170</v>
      </c>
      <c r="E7" s="7" t="s">
        <v>171</v>
      </c>
      <c r="F7" s="7" t="s">
        <v>172</v>
      </c>
      <c r="G7" s="7" t="s">
        <v>160</v>
      </c>
      <c r="H7" s="7" t="s">
        <v>161</v>
      </c>
      <c r="I7" s="9" t="s">
        <v>162</v>
      </c>
      <c r="J7" s="10"/>
    </row>
    <row r="8" spans="1:10" ht="28.8" x14ac:dyDescent="0.3">
      <c r="A8" s="7" t="s">
        <v>173</v>
      </c>
      <c r="B8" s="7" t="s">
        <v>155</v>
      </c>
      <c r="C8" s="7" t="s">
        <v>174</v>
      </c>
      <c r="D8" s="7" t="s">
        <v>175</v>
      </c>
      <c r="E8" s="7" t="s">
        <v>176</v>
      </c>
      <c r="F8" s="7" t="s">
        <v>177</v>
      </c>
      <c r="G8" s="7" t="s">
        <v>160</v>
      </c>
      <c r="H8" s="7" t="s">
        <v>161</v>
      </c>
      <c r="I8" s="9" t="s">
        <v>162</v>
      </c>
      <c r="J8" s="10"/>
    </row>
    <row r="9" spans="1:10" ht="28.8" x14ac:dyDescent="0.3">
      <c r="A9" s="7" t="s">
        <v>178</v>
      </c>
      <c r="B9" s="7" t="s">
        <v>155</v>
      </c>
      <c r="C9" s="7" t="s">
        <v>179</v>
      </c>
      <c r="D9" s="7" t="s">
        <v>180</v>
      </c>
      <c r="E9" s="7" t="s">
        <v>181</v>
      </c>
      <c r="F9" s="7" t="s">
        <v>182</v>
      </c>
      <c r="G9" s="7" t="s">
        <v>160</v>
      </c>
      <c r="H9" s="7" t="s">
        <v>161</v>
      </c>
      <c r="I9" s="9" t="s">
        <v>162</v>
      </c>
      <c r="J9" s="10"/>
    </row>
    <row r="10" spans="1:10" ht="28.8" x14ac:dyDescent="0.3">
      <c r="A10" s="7" t="s">
        <v>183</v>
      </c>
      <c r="B10" s="7" t="s">
        <v>155</v>
      </c>
      <c r="C10" s="7" t="s">
        <v>184</v>
      </c>
      <c r="D10" s="7" t="s">
        <v>185</v>
      </c>
      <c r="E10" s="7" t="s">
        <v>186</v>
      </c>
      <c r="F10" s="7" t="s">
        <v>187</v>
      </c>
      <c r="G10" s="7" t="s">
        <v>160</v>
      </c>
      <c r="H10" s="7" t="s">
        <v>161</v>
      </c>
      <c r="I10" s="9" t="s">
        <v>162</v>
      </c>
      <c r="J10" s="10"/>
    </row>
    <row r="11" spans="1:10" ht="28.8" x14ac:dyDescent="0.3">
      <c r="A11" s="7" t="s">
        <v>188</v>
      </c>
      <c r="B11" s="7" t="s">
        <v>155</v>
      </c>
      <c r="C11" s="7" t="s">
        <v>189</v>
      </c>
      <c r="D11" s="7" t="s">
        <v>190</v>
      </c>
      <c r="E11" s="7" t="s">
        <v>191</v>
      </c>
      <c r="F11" s="7" t="s">
        <v>192</v>
      </c>
      <c r="G11" s="7" t="s">
        <v>160</v>
      </c>
      <c r="H11" s="7" t="s">
        <v>161</v>
      </c>
      <c r="I11" s="9" t="s">
        <v>162</v>
      </c>
      <c r="J11" s="10"/>
    </row>
    <row r="12" spans="1:10" ht="43.2" x14ac:dyDescent="0.3">
      <c r="A12" s="7" t="s">
        <v>193</v>
      </c>
      <c r="B12" s="7" t="s">
        <v>155</v>
      </c>
      <c r="C12" s="7" t="s">
        <v>194</v>
      </c>
      <c r="D12" s="7" t="s">
        <v>195</v>
      </c>
      <c r="E12" s="7" t="s">
        <v>196</v>
      </c>
      <c r="F12" s="7" t="s">
        <v>197</v>
      </c>
      <c r="G12" s="7" t="s">
        <v>160</v>
      </c>
      <c r="H12" s="7" t="s">
        <v>161</v>
      </c>
      <c r="I12" s="9" t="s">
        <v>162</v>
      </c>
      <c r="J12" s="10"/>
    </row>
    <row r="13" spans="1:10" ht="28.8" x14ac:dyDescent="0.3">
      <c r="A13" s="7" t="s">
        <v>198</v>
      </c>
      <c r="B13" s="7" t="s">
        <v>155</v>
      </c>
      <c r="C13" s="7" t="s">
        <v>199</v>
      </c>
      <c r="D13" s="7" t="s">
        <v>200</v>
      </c>
      <c r="E13" s="7" t="s">
        <v>201</v>
      </c>
      <c r="F13" s="7" t="s">
        <v>202</v>
      </c>
      <c r="G13" s="7" t="s">
        <v>160</v>
      </c>
      <c r="H13" s="7" t="s">
        <v>161</v>
      </c>
      <c r="I13" s="9" t="s">
        <v>162</v>
      </c>
      <c r="J13" s="10"/>
    </row>
    <row r="14" spans="1:10" ht="28.8" x14ac:dyDescent="0.3">
      <c r="A14" s="7" t="s">
        <v>203</v>
      </c>
      <c r="B14" s="7" t="s">
        <v>155</v>
      </c>
      <c r="C14" s="7" t="s">
        <v>204</v>
      </c>
      <c r="D14" s="7" t="s">
        <v>205</v>
      </c>
      <c r="E14" s="7" t="s">
        <v>206</v>
      </c>
      <c r="F14" s="7" t="s">
        <v>207</v>
      </c>
      <c r="G14" s="7" t="s">
        <v>160</v>
      </c>
      <c r="H14" s="7" t="s">
        <v>161</v>
      </c>
      <c r="I14" s="9" t="s">
        <v>162</v>
      </c>
      <c r="J14" s="10"/>
    </row>
    <row r="15" spans="1:10" ht="28.8" x14ac:dyDescent="0.3">
      <c r="A15" s="7" t="s">
        <v>208</v>
      </c>
      <c r="B15" s="7" t="s">
        <v>155</v>
      </c>
      <c r="C15" s="7" t="s">
        <v>209</v>
      </c>
      <c r="D15" s="7" t="s">
        <v>210</v>
      </c>
      <c r="E15" s="7" t="s">
        <v>211</v>
      </c>
      <c r="F15" s="7" t="s">
        <v>212</v>
      </c>
      <c r="G15" s="7" t="s">
        <v>160</v>
      </c>
      <c r="H15" s="7" t="s">
        <v>161</v>
      </c>
      <c r="I15" s="9" t="s">
        <v>162</v>
      </c>
      <c r="J15" s="10"/>
    </row>
    <row r="16" spans="1:10" ht="28.8" x14ac:dyDescent="0.3">
      <c r="A16" s="7" t="s">
        <v>213</v>
      </c>
      <c r="B16" s="7" t="s">
        <v>155</v>
      </c>
      <c r="C16" s="7" t="s">
        <v>214</v>
      </c>
      <c r="D16" s="7" t="s">
        <v>215</v>
      </c>
      <c r="E16" s="7" t="s">
        <v>216</v>
      </c>
      <c r="F16" s="7" t="s">
        <v>217</v>
      </c>
      <c r="G16" s="7" t="s">
        <v>160</v>
      </c>
      <c r="H16" s="7" t="s">
        <v>161</v>
      </c>
      <c r="I16" s="9" t="s">
        <v>162</v>
      </c>
      <c r="J16" s="10"/>
    </row>
    <row r="17" spans="1:10" ht="28.8" x14ac:dyDescent="0.3">
      <c r="A17" s="7" t="s">
        <v>218</v>
      </c>
      <c r="B17" s="7" t="s">
        <v>155</v>
      </c>
      <c r="C17" s="7" t="s">
        <v>219</v>
      </c>
      <c r="D17" s="7" t="s">
        <v>220</v>
      </c>
      <c r="E17" s="7" t="s">
        <v>221</v>
      </c>
      <c r="F17" s="7" t="s">
        <v>222</v>
      </c>
      <c r="G17" s="7" t="s">
        <v>160</v>
      </c>
      <c r="H17" s="7" t="s">
        <v>161</v>
      </c>
      <c r="I17" s="9" t="s">
        <v>162</v>
      </c>
      <c r="J17" s="10"/>
    </row>
    <row r="18" spans="1:10" ht="28.8" x14ac:dyDescent="0.3">
      <c r="A18" s="7" t="s">
        <v>223</v>
      </c>
      <c r="B18" s="7" t="s">
        <v>155</v>
      </c>
      <c r="C18" s="7" t="s">
        <v>224</v>
      </c>
      <c r="D18" s="7" t="s">
        <v>225</v>
      </c>
      <c r="E18" s="7" t="s">
        <v>226</v>
      </c>
      <c r="F18" s="7" t="s">
        <v>227</v>
      </c>
      <c r="G18" s="7" t="s">
        <v>228</v>
      </c>
      <c r="H18" s="7" t="s">
        <v>229</v>
      </c>
      <c r="I18" s="9" t="s">
        <v>162</v>
      </c>
      <c r="J18" s="10"/>
    </row>
    <row r="19" spans="1:10" ht="28.8" x14ac:dyDescent="0.3">
      <c r="A19" s="7" t="s">
        <v>230</v>
      </c>
      <c r="B19" s="7" t="s">
        <v>231</v>
      </c>
      <c r="C19" s="7" t="s">
        <v>232</v>
      </c>
      <c r="D19" s="7" t="s">
        <v>233</v>
      </c>
      <c r="E19" s="7" t="s">
        <v>234</v>
      </c>
      <c r="F19" s="7" t="s">
        <v>235</v>
      </c>
      <c r="G19" s="7" t="s">
        <v>160</v>
      </c>
      <c r="H19" s="7" t="s">
        <v>236</v>
      </c>
      <c r="I19" s="9" t="s">
        <v>162</v>
      </c>
      <c r="J19" s="10"/>
    </row>
    <row r="20" spans="1:10" ht="43.2" x14ac:dyDescent="0.3">
      <c r="A20" s="7" t="s">
        <v>237</v>
      </c>
      <c r="B20" s="7" t="s">
        <v>231</v>
      </c>
      <c r="C20" s="7" t="s">
        <v>238</v>
      </c>
      <c r="D20" s="7" t="s">
        <v>239</v>
      </c>
      <c r="E20" s="7" t="s">
        <v>240</v>
      </c>
      <c r="F20" s="7" t="s">
        <v>241</v>
      </c>
      <c r="G20" s="7" t="s">
        <v>160</v>
      </c>
      <c r="H20" s="7" t="s">
        <v>236</v>
      </c>
      <c r="I20" s="9" t="s">
        <v>162</v>
      </c>
      <c r="J20" s="10"/>
    </row>
    <row r="21" spans="1:10" ht="43.2" x14ac:dyDescent="0.3">
      <c r="A21" s="7" t="s">
        <v>242</v>
      </c>
      <c r="B21" s="7" t="s">
        <v>231</v>
      </c>
      <c r="C21" s="7" t="s">
        <v>243</v>
      </c>
      <c r="D21" s="7" t="s">
        <v>244</v>
      </c>
      <c r="E21" s="7" t="s">
        <v>245</v>
      </c>
      <c r="F21" s="7" t="s">
        <v>246</v>
      </c>
      <c r="G21" s="7" t="s">
        <v>228</v>
      </c>
      <c r="H21" s="7" t="s">
        <v>247</v>
      </c>
      <c r="I21" s="9" t="s">
        <v>162</v>
      </c>
      <c r="J21" s="10"/>
    </row>
    <row r="22" spans="1:10" ht="28.8" x14ac:dyDescent="0.3">
      <c r="A22" s="7" t="s">
        <v>248</v>
      </c>
      <c r="B22" s="7" t="s">
        <v>231</v>
      </c>
      <c r="C22" s="7" t="s">
        <v>249</v>
      </c>
      <c r="D22" s="7" t="s">
        <v>244</v>
      </c>
      <c r="E22" s="7" t="s">
        <v>250</v>
      </c>
      <c r="F22" s="7" t="s">
        <v>251</v>
      </c>
      <c r="G22" s="7" t="s">
        <v>228</v>
      </c>
      <c r="H22" s="7" t="s">
        <v>247</v>
      </c>
      <c r="I22" s="9" t="s">
        <v>162</v>
      </c>
      <c r="J22" s="10"/>
    </row>
    <row r="23" spans="1:10" ht="28.8" x14ac:dyDescent="0.3">
      <c r="A23" s="7" t="s">
        <v>252</v>
      </c>
      <c r="B23" s="7" t="s">
        <v>231</v>
      </c>
      <c r="C23" s="7" t="s">
        <v>253</v>
      </c>
      <c r="D23" s="7" t="s">
        <v>239</v>
      </c>
      <c r="E23" s="7" t="s">
        <v>254</v>
      </c>
      <c r="F23" s="7" t="s">
        <v>255</v>
      </c>
      <c r="G23" s="7" t="s">
        <v>160</v>
      </c>
      <c r="H23" s="7" t="s">
        <v>161</v>
      </c>
      <c r="I23" s="9" t="s">
        <v>162</v>
      </c>
      <c r="J23" s="10"/>
    </row>
    <row r="24" spans="1:10" ht="28.8" x14ac:dyDescent="0.3">
      <c r="A24" s="7" t="s">
        <v>256</v>
      </c>
      <c r="B24" s="7" t="s">
        <v>231</v>
      </c>
      <c r="C24" s="7" t="s">
        <v>257</v>
      </c>
      <c r="D24" s="7" t="s">
        <v>258</v>
      </c>
      <c r="E24" s="7" t="s">
        <v>259</v>
      </c>
      <c r="F24" s="7" t="s">
        <v>260</v>
      </c>
      <c r="G24" s="7" t="s">
        <v>160</v>
      </c>
      <c r="H24" s="7" t="s">
        <v>161</v>
      </c>
      <c r="I24" s="9" t="s">
        <v>162</v>
      </c>
      <c r="J24" s="10"/>
    </row>
    <row r="25" spans="1:10" ht="28.8" x14ac:dyDescent="0.3">
      <c r="A25" s="7" t="s">
        <v>261</v>
      </c>
      <c r="B25" s="7" t="s">
        <v>231</v>
      </c>
      <c r="C25" s="7" t="s">
        <v>262</v>
      </c>
      <c r="D25" s="7" t="s">
        <v>263</v>
      </c>
      <c r="E25" s="7" t="s">
        <v>264</v>
      </c>
      <c r="F25" s="7" t="s">
        <v>265</v>
      </c>
      <c r="G25" s="7" t="s">
        <v>228</v>
      </c>
      <c r="H25" s="7" t="s">
        <v>266</v>
      </c>
      <c r="I25" s="9" t="s">
        <v>162</v>
      </c>
      <c r="J25" s="10"/>
    </row>
    <row r="26" spans="1:10" ht="43.2" x14ac:dyDescent="0.3">
      <c r="A26" s="7" t="s">
        <v>267</v>
      </c>
      <c r="B26" s="7" t="s">
        <v>231</v>
      </c>
      <c r="C26" s="7" t="s">
        <v>268</v>
      </c>
      <c r="D26" s="7" t="s">
        <v>269</v>
      </c>
      <c r="E26" s="7" t="s">
        <v>270</v>
      </c>
      <c r="F26" s="7" t="s">
        <v>271</v>
      </c>
      <c r="G26" s="7" t="s">
        <v>228</v>
      </c>
      <c r="H26" s="7" t="s">
        <v>266</v>
      </c>
      <c r="I26" s="9" t="s">
        <v>162</v>
      </c>
      <c r="J26" s="10"/>
    </row>
    <row r="27" spans="1:10" ht="28.8" x14ac:dyDescent="0.3">
      <c r="A27" s="7" t="s">
        <v>272</v>
      </c>
      <c r="B27" s="7" t="s">
        <v>97</v>
      </c>
      <c r="C27" s="7" t="s">
        <v>273</v>
      </c>
      <c r="D27" s="7" t="s">
        <v>274</v>
      </c>
      <c r="E27" s="7" t="s">
        <v>275</v>
      </c>
      <c r="F27" s="7" t="s">
        <v>276</v>
      </c>
      <c r="G27" s="7" t="s">
        <v>160</v>
      </c>
      <c r="H27" s="7" t="s">
        <v>277</v>
      </c>
      <c r="I27" s="9" t="s">
        <v>162</v>
      </c>
      <c r="J27" s="10"/>
    </row>
    <row r="28" spans="1:10" ht="28.8" x14ac:dyDescent="0.3">
      <c r="A28" s="7" t="s">
        <v>278</v>
      </c>
      <c r="B28" s="7" t="s">
        <v>97</v>
      </c>
      <c r="C28" s="7" t="s">
        <v>279</v>
      </c>
      <c r="D28" s="7" t="s">
        <v>280</v>
      </c>
      <c r="E28" s="7" t="s">
        <v>281</v>
      </c>
      <c r="F28" s="7" t="s">
        <v>282</v>
      </c>
      <c r="G28" s="7" t="s">
        <v>160</v>
      </c>
      <c r="H28" s="7" t="s">
        <v>283</v>
      </c>
      <c r="I28" s="9" t="s">
        <v>162</v>
      </c>
      <c r="J28" s="10"/>
    </row>
    <row r="29" spans="1:10" ht="28.8" x14ac:dyDescent="0.3">
      <c r="A29" s="7" t="s">
        <v>284</v>
      </c>
      <c r="B29" s="7" t="s">
        <v>97</v>
      </c>
      <c r="C29" s="7" t="s">
        <v>285</v>
      </c>
      <c r="D29" s="7" t="s">
        <v>280</v>
      </c>
      <c r="E29" s="7" t="s">
        <v>286</v>
      </c>
      <c r="F29" s="7" t="s">
        <v>287</v>
      </c>
      <c r="G29" s="7" t="s">
        <v>160</v>
      </c>
      <c r="H29" s="7" t="s">
        <v>288</v>
      </c>
      <c r="I29" s="9" t="s">
        <v>162</v>
      </c>
      <c r="J29" s="10"/>
    </row>
    <row r="30" spans="1:10" ht="28.8" x14ac:dyDescent="0.3">
      <c r="A30" s="7" t="s">
        <v>289</v>
      </c>
      <c r="B30" s="7" t="s">
        <v>97</v>
      </c>
      <c r="C30" s="7" t="s">
        <v>290</v>
      </c>
      <c r="D30" s="7" t="s">
        <v>291</v>
      </c>
      <c r="E30" s="7" t="s">
        <v>292</v>
      </c>
      <c r="F30" s="7" t="s">
        <v>293</v>
      </c>
      <c r="G30" s="7" t="s">
        <v>228</v>
      </c>
      <c r="H30" s="7" t="s">
        <v>294</v>
      </c>
      <c r="I30" s="9" t="s">
        <v>162</v>
      </c>
      <c r="J30" s="10"/>
    </row>
    <row r="31" spans="1:10" ht="43.2" x14ac:dyDescent="0.3">
      <c r="A31" s="7" t="s">
        <v>295</v>
      </c>
      <c r="B31" s="7" t="s">
        <v>296</v>
      </c>
      <c r="C31" s="7" t="s">
        <v>297</v>
      </c>
      <c r="D31" s="7" t="s">
        <v>298</v>
      </c>
      <c r="E31" s="7" t="s">
        <v>299</v>
      </c>
      <c r="F31" s="7" t="s">
        <v>300</v>
      </c>
      <c r="G31" s="7" t="s">
        <v>228</v>
      </c>
      <c r="H31" s="7" t="s">
        <v>301</v>
      </c>
      <c r="I31" s="9" t="s">
        <v>162</v>
      </c>
      <c r="J31" s="10"/>
    </row>
    <row r="32" spans="1:10" ht="28.8" x14ac:dyDescent="0.3">
      <c r="A32" s="7" t="s">
        <v>302</v>
      </c>
      <c r="B32" s="7" t="s">
        <v>296</v>
      </c>
      <c r="C32" s="7" t="s">
        <v>303</v>
      </c>
      <c r="D32" s="7" t="s">
        <v>298</v>
      </c>
      <c r="E32" s="7" t="s">
        <v>304</v>
      </c>
      <c r="F32" s="7" t="s">
        <v>305</v>
      </c>
      <c r="G32" s="7" t="s">
        <v>228</v>
      </c>
      <c r="H32" s="7" t="s">
        <v>306</v>
      </c>
      <c r="I32" s="9" t="s">
        <v>162</v>
      </c>
      <c r="J32" s="10"/>
    </row>
    <row r="33" spans="1:10" ht="28.8" x14ac:dyDescent="0.3">
      <c r="A33" s="7" t="s">
        <v>307</v>
      </c>
      <c r="B33" s="7" t="s">
        <v>296</v>
      </c>
      <c r="C33" s="7" t="s">
        <v>308</v>
      </c>
      <c r="D33" s="7" t="s">
        <v>309</v>
      </c>
      <c r="E33" s="7" t="s">
        <v>310</v>
      </c>
      <c r="F33" s="7" t="s">
        <v>311</v>
      </c>
      <c r="G33" s="7" t="s">
        <v>228</v>
      </c>
      <c r="H33" s="7" t="s">
        <v>312</v>
      </c>
      <c r="I33" s="9" t="s">
        <v>162</v>
      </c>
      <c r="J33" s="10"/>
    </row>
    <row r="34" spans="1:10" ht="28.8" x14ac:dyDescent="0.3">
      <c r="A34" s="7" t="s">
        <v>313</v>
      </c>
      <c r="B34" s="7" t="s">
        <v>296</v>
      </c>
      <c r="C34" s="7" t="s">
        <v>314</v>
      </c>
      <c r="D34" s="7" t="s">
        <v>315</v>
      </c>
      <c r="E34" s="7" t="s">
        <v>316</v>
      </c>
      <c r="F34" s="7" t="s">
        <v>317</v>
      </c>
      <c r="G34" s="7" t="s">
        <v>228</v>
      </c>
      <c r="H34" s="7" t="s">
        <v>318</v>
      </c>
      <c r="I34" s="9" t="s">
        <v>162</v>
      </c>
      <c r="J34" s="10"/>
    </row>
    <row r="35" spans="1:10" ht="28.8" x14ac:dyDescent="0.3">
      <c r="A35" s="7" t="s">
        <v>319</v>
      </c>
      <c r="B35" s="7" t="s">
        <v>296</v>
      </c>
      <c r="C35" s="7" t="s">
        <v>320</v>
      </c>
      <c r="D35" s="7" t="s">
        <v>321</v>
      </c>
      <c r="E35" s="7" t="s">
        <v>322</v>
      </c>
      <c r="F35" s="7" t="s">
        <v>323</v>
      </c>
      <c r="G35" s="7" t="s">
        <v>228</v>
      </c>
      <c r="H35" s="7" t="s">
        <v>324</v>
      </c>
      <c r="I35" s="9" t="s">
        <v>162</v>
      </c>
      <c r="J35" s="10"/>
    </row>
    <row r="36" spans="1:10" ht="28.8" x14ac:dyDescent="0.3">
      <c r="A36" s="7" t="s">
        <v>325</v>
      </c>
      <c r="B36" s="7" t="s">
        <v>296</v>
      </c>
      <c r="C36" s="7" t="s">
        <v>326</v>
      </c>
      <c r="D36" s="7" t="s">
        <v>309</v>
      </c>
      <c r="E36" s="7" t="s">
        <v>327</v>
      </c>
      <c r="F36" s="7" t="s">
        <v>328</v>
      </c>
      <c r="G36" s="7" t="s">
        <v>228</v>
      </c>
      <c r="H36" s="7" t="s">
        <v>294</v>
      </c>
      <c r="I36" s="9" t="s">
        <v>162</v>
      </c>
      <c r="J36" s="10"/>
    </row>
    <row r="37" spans="1:10" ht="28.8" x14ac:dyDescent="0.3">
      <c r="A37" s="7" t="s">
        <v>329</v>
      </c>
      <c r="B37" s="7" t="s">
        <v>330</v>
      </c>
      <c r="C37" s="7" t="s">
        <v>331</v>
      </c>
      <c r="D37" s="7" t="s">
        <v>332</v>
      </c>
      <c r="E37" s="7" t="s">
        <v>333</v>
      </c>
      <c r="F37" s="7" t="s">
        <v>334</v>
      </c>
      <c r="G37" s="7" t="s">
        <v>228</v>
      </c>
      <c r="H37" s="7" t="s">
        <v>335</v>
      </c>
      <c r="I37" s="9" t="s">
        <v>162</v>
      </c>
      <c r="J37" s="10"/>
    </row>
    <row r="38" spans="1:10" ht="28.8" x14ac:dyDescent="0.3">
      <c r="A38" s="7" t="s">
        <v>336</v>
      </c>
      <c r="B38" s="7" t="s">
        <v>330</v>
      </c>
      <c r="C38" s="7" t="s">
        <v>337</v>
      </c>
      <c r="D38" s="7" t="s">
        <v>338</v>
      </c>
      <c r="E38" s="7" t="s">
        <v>339</v>
      </c>
      <c r="F38" s="7" t="s">
        <v>340</v>
      </c>
      <c r="G38" s="7" t="s">
        <v>228</v>
      </c>
      <c r="H38" s="7" t="s">
        <v>288</v>
      </c>
      <c r="I38" s="9" t="s">
        <v>162</v>
      </c>
      <c r="J38" s="10"/>
    </row>
    <row r="39" spans="1:10" ht="28.8" x14ac:dyDescent="0.3">
      <c r="A39" s="7" t="s">
        <v>341</v>
      </c>
      <c r="B39" s="7" t="s">
        <v>330</v>
      </c>
      <c r="C39" s="7" t="s">
        <v>342</v>
      </c>
      <c r="D39" s="7" t="s">
        <v>343</v>
      </c>
      <c r="E39" s="7" t="s">
        <v>344</v>
      </c>
      <c r="F39" s="7" t="s">
        <v>345</v>
      </c>
      <c r="G39" s="7" t="s">
        <v>228</v>
      </c>
      <c r="H39" s="7" t="s">
        <v>346</v>
      </c>
      <c r="I39" s="9" t="s">
        <v>162</v>
      </c>
      <c r="J39" s="10"/>
    </row>
    <row r="40" spans="1:10" ht="28.8" x14ac:dyDescent="0.3">
      <c r="A40" s="7" t="s">
        <v>347</v>
      </c>
      <c r="B40" s="7" t="s">
        <v>330</v>
      </c>
      <c r="C40" s="7" t="s">
        <v>348</v>
      </c>
      <c r="D40" s="7" t="s">
        <v>349</v>
      </c>
      <c r="E40" s="7" t="s">
        <v>350</v>
      </c>
      <c r="F40" s="7" t="s">
        <v>351</v>
      </c>
      <c r="G40" s="7" t="s">
        <v>228</v>
      </c>
      <c r="H40" s="7" t="s">
        <v>352</v>
      </c>
      <c r="I40" s="9" t="s">
        <v>162</v>
      </c>
      <c r="J40" s="10"/>
    </row>
    <row r="41" spans="1:10" ht="43.2" x14ac:dyDescent="0.3">
      <c r="A41" s="7" t="s">
        <v>353</v>
      </c>
      <c r="B41" s="7" t="s">
        <v>330</v>
      </c>
      <c r="C41" s="7" t="s">
        <v>354</v>
      </c>
      <c r="D41" s="7" t="s">
        <v>355</v>
      </c>
      <c r="E41" s="7" t="s">
        <v>356</v>
      </c>
      <c r="F41" s="7" t="s">
        <v>357</v>
      </c>
      <c r="G41" s="7" t="s">
        <v>228</v>
      </c>
      <c r="H41" s="7" t="s">
        <v>346</v>
      </c>
      <c r="I41" s="9" t="s">
        <v>162</v>
      </c>
      <c r="J41" s="10"/>
    </row>
    <row r="42" spans="1:10" ht="28.8" x14ac:dyDescent="0.3">
      <c r="A42" s="7" t="s">
        <v>358</v>
      </c>
      <c r="B42" s="7" t="s">
        <v>330</v>
      </c>
      <c r="C42" s="7" t="s">
        <v>359</v>
      </c>
      <c r="D42" s="7" t="s">
        <v>360</v>
      </c>
      <c r="E42" s="7" t="s">
        <v>361</v>
      </c>
      <c r="F42" s="7" t="s">
        <v>362</v>
      </c>
      <c r="G42" s="7" t="s">
        <v>228</v>
      </c>
      <c r="H42" s="7" t="s">
        <v>346</v>
      </c>
      <c r="I42" s="9" t="s">
        <v>162</v>
      </c>
      <c r="J42" s="10"/>
    </row>
    <row r="43" spans="1:10" ht="28.8" x14ac:dyDescent="0.3">
      <c r="A43" s="7" t="s">
        <v>363</v>
      </c>
      <c r="B43" s="7" t="s">
        <v>330</v>
      </c>
      <c r="C43" s="7" t="s">
        <v>364</v>
      </c>
      <c r="D43" s="7" t="s">
        <v>365</v>
      </c>
      <c r="E43" s="7" t="s">
        <v>366</v>
      </c>
      <c r="F43" s="7" t="s">
        <v>367</v>
      </c>
      <c r="G43" s="7" t="s">
        <v>228</v>
      </c>
      <c r="H43" s="7" t="s">
        <v>368</v>
      </c>
      <c r="I43" s="9" t="s">
        <v>162</v>
      </c>
      <c r="J43" s="10"/>
    </row>
    <row r="44" spans="1:10" ht="28.8" x14ac:dyDescent="0.3">
      <c r="A44" s="7" t="s">
        <v>369</v>
      </c>
      <c r="B44" s="7" t="s">
        <v>370</v>
      </c>
      <c r="C44" s="7" t="s">
        <v>371</v>
      </c>
      <c r="D44" s="7" t="s">
        <v>321</v>
      </c>
      <c r="E44" s="7" t="s">
        <v>372</v>
      </c>
      <c r="F44" s="7" t="s">
        <v>373</v>
      </c>
      <c r="G44" s="7" t="s">
        <v>228</v>
      </c>
      <c r="H44" s="7" t="s">
        <v>352</v>
      </c>
      <c r="I44" s="9" t="s">
        <v>162</v>
      </c>
      <c r="J44" s="10"/>
    </row>
    <row r="45" spans="1:10" ht="28.8" x14ac:dyDescent="0.3">
      <c r="A45" s="7" t="s">
        <v>374</v>
      </c>
      <c r="B45" s="7" t="s">
        <v>370</v>
      </c>
      <c r="C45" s="7" t="s">
        <v>375</v>
      </c>
      <c r="D45" s="7" t="s">
        <v>365</v>
      </c>
      <c r="E45" s="7" t="s">
        <v>376</v>
      </c>
      <c r="F45" s="7" t="s">
        <v>377</v>
      </c>
      <c r="G45" s="7" t="s">
        <v>228</v>
      </c>
      <c r="H45" s="7" t="s">
        <v>378</v>
      </c>
      <c r="I45" s="9" t="s">
        <v>162</v>
      </c>
      <c r="J45" s="10"/>
    </row>
    <row r="46" spans="1:10" ht="28.8" x14ac:dyDescent="0.3">
      <c r="A46" s="7" t="s">
        <v>379</v>
      </c>
      <c r="B46" s="7" t="s">
        <v>370</v>
      </c>
      <c r="C46" s="7" t="s">
        <v>380</v>
      </c>
      <c r="D46" s="7" t="s">
        <v>365</v>
      </c>
      <c r="E46" s="7" t="s">
        <v>381</v>
      </c>
      <c r="F46" s="7" t="s">
        <v>382</v>
      </c>
      <c r="G46" s="7" t="s">
        <v>228</v>
      </c>
      <c r="H46" s="7" t="s">
        <v>383</v>
      </c>
      <c r="I46" s="9" t="s">
        <v>162</v>
      </c>
      <c r="J46" s="10"/>
    </row>
    <row r="47" spans="1:10" ht="28.8" x14ac:dyDescent="0.3">
      <c r="A47" s="7" t="s">
        <v>384</v>
      </c>
      <c r="B47" s="7" t="s">
        <v>385</v>
      </c>
      <c r="C47" s="7" t="s">
        <v>386</v>
      </c>
      <c r="D47" s="7" t="s">
        <v>321</v>
      </c>
      <c r="E47" s="7" t="s">
        <v>387</v>
      </c>
      <c r="F47" s="7" t="s">
        <v>388</v>
      </c>
      <c r="G47" s="7" t="s">
        <v>228</v>
      </c>
      <c r="H47" s="7" t="s">
        <v>389</v>
      </c>
      <c r="I47" s="9" t="s">
        <v>162</v>
      </c>
      <c r="J47" s="10"/>
    </row>
    <row r="48" spans="1:10" ht="28.8" x14ac:dyDescent="0.3">
      <c r="A48" s="7" t="s">
        <v>390</v>
      </c>
      <c r="B48" s="7" t="s">
        <v>385</v>
      </c>
      <c r="C48" s="7" t="s">
        <v>391</v>
      </c>
      <c r="D48" s="7" t="s">
        <v>119</v>
      </c>
      <c r="E48" s="7" t="s">
        <v>392</v>
      </c>
      <c r="F48" s="7" t="s">
        <v>393</v>
      </c>
      <c r="G48" s="7" t="s">
        <v>228</v>
      </c>
      <c r="H48" s="7" t="s">
        <v>368</v>
      </c>
      <c r="I48" s="9" t="s">
        <v>162</v>
      </c>
      <c r="J48" s="10"/>
    </row>
    <row r="49" spans="1:10" ht="28.8" x14ac:dyDescent="0.3">
      <c r="A49" s="7" t="s">
        <v>394</v>
      </c>
      <c r="B49" s="7" t="s">
        <v>395</v>
      </c>
      <c r="C49" s="7" t="s">
        <v>396</v>
      </c>
      <c r="D49" s="7" t="s">
        <v>397</v>
      </c>
      <c r="E49" s="7" t="s">
        <v>398</v>
      </c>
      <c r="F49" s="7" t="s">
        <v>399</v>
      </c>
      <c r="G49" s="7" t="s">
        <v>228</v>
      </c>
      <c r="H49" s="7" t="s">
        <v>400</v>
      </c>
      <c r="I49" s="9" t="s">
        <v>162</v>
      </c>
      <c r="J49" s="10"/>
    </row>
    <row r="50" spans="1:10" ht="28.8" x14ac:dyDescent="0.3">
      <c r="A50" s="7" t="s">
        <v>401</v>
      </c>
      <c r="B50" s="7" t="s">
        <v>395</v>
      </c>
      <c r="C50" s="7" t="s">
        <v>402</v>
      </c>
      <c r="D50" s="7" t="s">
        <v>403</v>
      </c>
      <c r="E50" s="7" t="s">
        <v>404</v>
      </c>
      <c r="F50" s="7" t="s">
        <v>405</v>
      </c>
      <c r="G50" s="7" t="s">
        <v>228</v>
      </c>
      <c r="H50" s="7" t="s">
        <v>406</v>
      </c>
      <c r="I50" s="9" t="s">
        <v>162</v>
      </c>
      <c r="J50" s="10"/>
    </row>
    <row r="51" spans="1:10" ht="28.8" x14ac:dyDescent="0.3">
      <c r="A51" s="7" t="s">
        <v>407</v>
      </c>
      <c r="B51" s="7" t="s">
        <v>408</v>
      </c>
      <c r="C51" s="7" t="s">
        <v>409</v>
      </c>
      <c r="D51" s="7" t="s">
        <v>410</v>
      </c>
      <c r="E51" s="7" t="s">
        <v>411</v>
      </c>
      <c r="F51" s="7" t="s">
        <v>412</v>
      </c>
      <c r="G51" s="7" t="s">
        <v>228</v>
      </c>
      <c r="H51" s="7" t="s">
        <v>413</v>
      </c>
      <c r="I51" s="9" t="s">
        <v>162</v>
      </c>
      <c r="J51" s="10"/>
    </row>
    <row r="52" spans="1:10" ht="28.8" x14ac:dyDescent="0.3">
      <c r="A52" s="7" t="s">
        <v>414</v>
      </c>
      <c r="B52" s="7" t="s">
        <v>408</v>
      </c>
      <c r="C52" s="7" t="s">
        <v>415</v>
      </c>
      <c r="D52" s="7" t="s">
        <v>410</v>
      </c>
      <c r="E52" s="7" t="s">
        <v>416</v>
      </c>
      <c r="F52" s="7" t="s">
        <v>417</v>
      </c>
      <c r="G52" s="7" t="s">
        <v>228</v>
      </c>
      <c r="H52" s="7" t="s">
        <v>406</v>
      </c>
      <c r="I52" s="9" t="s">
        <v>162</v>
      </c>
      <c r="J52" s="10"/>
    </row>
    <row r="53" spans="1:10" ht="28.8" x14ac:dyDescent="0.3">
      <c r="A53" s="7" t="s">
        <v>418</v>
      </c>
      <c r="B53" s="7" t="s">
        <v>408</v>
      </c>
      <c r="C53" s="7" t="s">
        <v>419</v>
      </c>
      <c r="D53" s="7" t="s">
        <v>410</v>
      </c>
      <c r="E53" s="7" t="s">
        <v>420</v>
      </c>
      <c r="F53" s="7" t="s">
        <v>421</v>
      </c>
      <c r="G53" s="7" t="s">
        <v>228</v>
      </c>
      <c r="H53" s="7" t="s">
        <v>406</v>
      </c>
      <c r="I53" s="9" t="s">
        <v>162</v>
      </c>
      <c r="J53" s="10"/>
    </row>
    <row r="54" spans="1:10" ht="28.8" x14ac:dyDescent="0.3">
      <c r="A54" s="7" t="s">
        <v>422</v>
      </c>
      <c r="B54" s="7" t="s">
        <v>408</v>
      </c>
      <c r="C54" s="7" t="s">
        <v>423</v>
      </c>
      <c r="D54" s="7" t="s">
        <v>410</v>
      </c>
      <c r="E54" s="7" t="s">
        <v>424</v>
      </c>
      <c r="F54" s="7" t="s">
        <v>425</v>
      </c>
      <c r="G54" s="7" t="s">
        <v>228</v>
      </c>
      <c r="H54" s="7" t="s">
        <v>406</v>
      </c>
      <c r="I54" s="9" t="s">
        <v>162</v>
      </c>
      <c r="J54" s="10"/>
    </row>
    <row r="55" spans="1:10" ht="28.8" x14ac:dyDescent="0.3">
      <c r="A55" s="7" t="s">
        <v>426</v>
      </c>
      <c r="B55" s="7" t="s">
        <v>408</v>
      </c>
      <c r="C55" s="7" t="s">
        <v>427</v>
      </c>
      <c r="D55" s="7" t="s">
        <v>410</v>
      </c>
      <c r="E55" s="7" t="s">
        <v>428</v>
      </c>
      <c r="F55" s="7" t="s">
        <v>429</v>
      </c>
      <c r="G55" s="7" t="s">
        <v>228</v>
      </c>
      <c r="H55" s="7" t="s">
        <v>368</v>
      </c>
      <c r="I55" s="9" t="s">
        <v>162</v>
      </c>
      <c r="J55" s="10"/>
    </row>
    <row r="56" spans="1:10" x14ac:dyDescent="0.3">
      <c r="A56" s="7" t="s">
        <v>430</v>
      </c>
      <c r="B56" s="7" t="s">
        <v>408</v>
      </c>
      <c r="C56" s="7" t="s">
        <v>431</v>
      </c>
      <c r="D56" s="7" t="s">
        <v>410</v>
      </c>
      <c r="E56" s="7" t="s">
        <v>432</v>
      </c>
      <c r="F56" s="7" t="s">
        <v>433</v>
      </c>
      <c r="G56" s="7" t="s">
        <v>160</v>
      </c>
      <c r="H56" s="7" t="s">
        <v>161</v>
      </c>
      <c r="I56" s="9" t="s">
        <v>162</v>
      </c>
      <c r="J56" s="10"/>
    </row>
    <row r="57" spans="1:10" ht="28.8" x14ac:dyDescent="0.3">
      <c r="A57" s="7" t="s">
        <v>434</v>
      </c>
      <c r="B57" s="7" t="s">
        <v>408</v>
      </c>
      <c r="C57" s="7" t="s">
        <v>435</v>
      </c>
      <c r="D57" s="7" t="s">
        <v>436</v>
      </c>
      <c r="E57" s="7" t="s">
        <v>437</v>
      </c>
      <c r="F57" s="7" t="s">
        <v>438</v>
      </c>
      <c r="G57" s="7" t="s">
        <v>228</v>
      </c>
      <c r="H57" s="7" t="s">
        <v>439</v>
      </c>
      <c r="I57" s="9" t="s">
        <v>162</v>
      </c>
      <c r="J57" s="10"/>
    </row>
  </sheetData>
  <autoFilter ref="A4:J57" xr:uid="{00000000-0009-0000-0000-000004000000}"/>
  <conditionalFormatting sqref="I5:I57">
    <cfRule type="cellIs" dxfId="6" priority="1" operator="equal">
      <formula>"Found"</formula>
    </cfRule>
    <cfRule type="cellIs" dxfId="5" priority="2" operator="equal">
      <formula>"Partly"</formula>
    </cfRule>
    <cfRule type="cellIs" dxfId="4" priority="3" operator="equal">
      <formula>"Missed"</formula>
    </cfRule>
  </conditionalFormatting>
  <dataValidations count="1">
    <dataValidation type="list" sqref="I5:I57" xr:uid="{00000000-0002-0000-0400-000000000000}">
      <formula1>"Found,Partly,Missed,Not checked"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4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44" customWidth="1"/>
    <col min="3" max="3" width="16" customWidth="1"/>
    <col min="4" max="4" width="7" customWidth="1"/>
    <col min="5" max="5" width="18" customWidth="1"/>
    <col min="6" max="6" width="14" customWidth="1"/>
    <col min="7" max="8" width="10" customWidth="1"/>
    <col min="9" max="9" width="60" customWidth="1"/>
  </cols>
  <sheetData>
    <row r="1" spans="1:9" ht="21" x14ac:dyDescent="0.4">
      <c r="A1" s="1" t="s">
        <v>440</v>
      </c>
    </row>
    <row r="2" spans="1:9" x14ac:dyDescent="0.3">
      <c r="A2" s="2" t="s">
        <v>441</v>
      </c>
    </row>
    <row r="4" spans="1:9" x14ac:dyDescent="0.3">
      <c r="A4" s="6" t="s">
        <v>145</v>
      </c>
      <c r="B4" s="6" t="s">
        <v>442</v>
      </c>
      <c r="C4" s="6" t="s">
        <v>443</v>
      </c>
      <c r="D4" s="6" t="s">
        <v>444</v>
      </c>
      <c r="E4" s="6" t="s">
        <v>445</v>
      </c>
      <c r="F4" s="6" t="s">
        <v>446</v>
      </c>
      <c r="G4" s="6" t="s">
        <v>447</v>
      </c>
      <c r="H4" s="6" t="s">
        <v>448</v>
      </c>
      <c r="I4" s="6" t="s">
        <v>449</v>
      </c>
    </row>
    <row r="5" spans="1:9" ht="28.8" x14ac:dyDescent="0.3">
      <c r="A5" s="7" t="s">
        <v>450</v>
      </c>
      <c r="B5" s="7" t="s">
        <v>451</v>
      </c>
      <c r="C5" s="8">
        <v>27820637</v>
      </c>
      <c r="D5" s="7" t="s">
        <v>104</v>
      </c>
      <c r="E5" s="11"/>
      <c r="F5" s="8" t="str">
        <f t="shared" ref="F5:F40" si="0">IF(E5="","",E5-C5)</f>
        <v/>
      </c>
      <c r="G5" s="7" t="str">
        <f>IF(E5="","",IF(ABS(E5-C5)&lt;=ABS(C5)*0.005,"PASS","CHECK"))</f>
        <v/>
      </c>
      <c r="H5" s="7" t="s">
        <v>452</v>
      </c>
      <c r="I5" s="7" t="s">
        <v>453</v>
      </c>
    </row>
    <row r="6" spans="1:9" ht="28.8" x14ac:dyDescent="0.3">
      <c r="A6" s="7" t="s">
        <v>450</v>
      </c>
      <c r="B6" s="7" t="s">
        <v>454</v>
      </c>
      <c r="C6" s="8">
        <v>30376963</v>
      </c>
      <c r="D6" s="7" t="s">
        <v>104</v>
      </c>
      <c r="E6" s="11"/>
      <c r="F6" s="8" t="str">
        <f t="shared" si="0"/>
        <v/>
      </c>
      <c r="G6" s="7" t="str">
        <f>IF(E6="","",IF(ABS(E6-C6)&lt;=ABS(C6)*0.005,"PASS","CHECK"))</f>
        <v/>
      </c>
      <c r="H6" s="7" t="s">
        <v>452</v>
      </c>
      <c r="I6" s="7" t="s">
        <v>455</v>
      </c>
    </row>
    <row r="7" spans="1:9" x14ac:dyDescent="0.3">
      <c r="A7" s="7" t="s">
        <v>450</v>
      </c>
      <c r="B7" s="7" t="s">
        <v>456</v>
      </c>
      <c r="C7" s="8">
        <v>64300000</v>
      </c>
      <c r="D7" s="7" t="s">
        <v>104</v>
      </c>
      <c r="E7" s="11"/>
      <c r="F7" s="8" t="str">
        <f t="shared" si="0"/>
        <v/>
      </c>
      <c r="G7" s="7" t="str">
        <f>IF(E7="","",IF(ABS(E7-C7)&lt;=ABS(C7)*0.005,"PASS","CHECK"))</f>
        <v/>
      </c>
      <c r="H7" s="7" t="s">
        <v>452</v>
      </c>
      <c r="I7" s="7" t="s">
        <v>457</v>
      </c>
    </row>
    <row r="8" spans="1:9" x14ac:dyDescent="0.3">
      <c r="A8" s="7" t="s">
        <v>450</v>
      </c>
      <c r="B8" s="7" t="s">
        <v>458</v>
      </c>
      <c r="C8" s="8">
        <v>5000000</v>
      </c>
      <c r="D8" s="7" t="s">
        <v>104</v>
      </c>
      <c r="E8" s="11"/>
      <c r="F8" s="8" t="str">
        <f t="shared" si="0"/>
        <v/>
      </c>
      <c r="G8" s="7" t="str">
        <f>IF(E8="","",IF(ABS(E8-C8)&lt;=ABS(C8)*0.005,"PASS","CHECK"))</f>
        <v/>
      </c>
      <c r="H8" s="7" t="s">
        <v>452</v>
      </c>
      <c r="I8" s="7" t="s">
        <v>459</v>
      </c>
    </row>
    <row r="9" spans="1:9" x14ac:dyDescent="0.3">
      <c r="A9" s="7" t="s">
        <v>450</v>
      </c>
      <c r="B9" s="7" t="s">
        <v>460</v>
      </c>
      <c r="C9" s="8">
        <v>38923037</v>
      </c>
      <c r="D9" s="7" t="s">
        <v>104</v>
      </c>
      <c r="E9" s="11"/>
      <c r="F9" s="8" t="str">
        <f t="shared" si="0"/>
        <v/>
      </c>
      <c r="G9" s="7" t="str">
        <f>IF(E9="","",IF(ABS(E9-C9)&lt;=ABS(C9)*0.005,"PASS","CHECK"))</f>
        <v/>
      </c>
      <c r="H9" s="7" t="s">
        <v>452</v>
      </c>
      <c r="I9" s="7" t="s">
        <v>461</v>
      </c>
    </row>
    <row r="10" spans="1:9" x14ac:dyDescent="0.3">
      <c r="A10" s="7" t="s">
        <v>450</v>
      </c>
      <c r="B10" s="7" t="s">
        <v>462</v>
      </c>
      <c r="C10" s="12">
        <v>1.4</v>
      </c>
      <c r="D10" s="7" t="s">
        <v>463</v>
      </c>
      <c r="E10" s="13"/>
      <c r="F10" s="12" t="str">
        <f t="shared" si="0"/>
        <v/>
      </c>
      <c r="G10" s="7" t="str">
        <f>IF(E10="","",IF(ABS(E10-C10)&lt;=0.02,"PASS","CHECK"))</f>
        <v/>
      </c>
      <c r="H10" s="7" t="s">
        <v>464</v>
      </c>
      <c r="I10" s="7" t="s">
        <v>465</v>
      </c>
    </row>
    <row r="11" spans="1:9" x14ac:dyDescent="0.3">
      <c r="A11" s="7" t="s">
        <v>450</v>
      </c>
      <c r="B11" s="7" t="s">
        <v>466</v>
      </c>
      <c r="C11" s="12">
        <v>1.5</v>
      </c>
      <c r="D11" s="7" t="s">
        <v>463</v>
      </c>
      <c r="E11" s="13"/>
      <c r="F11" s="12" t="str">
        <f t="shared" si="0"/>
        <v/>
      </c>
      <c r="G11" s="7" t="str">
        <f>IF(E11="","",IF(ABS(E11-C11)&lt;=0.02,"PASS","CHECK"))</f>
        <v/>
      </c>
      <c r="H11" s="7" t="s">
        <v>464</v>
      </c>
      <c r="I11" s="7" t="s">
        <v>467</v>
      </c>
    </row>
    <row r="12" spans="1:9" x14ac:dyDescent="0.3">
      <c r="A12" s="7" t="s">
        <v>450</v>
      </c>
      <c r="B12" s="7" t="s">
        <v>468</v>
      </c>
      <c r="C12" s="14">
        <v>6.7</v>
      </c>
      <c r="D12" s="7" t="s">
        <v>469</v>
      </c>
      <c r="E12" s="15"/>
      <c r="F12" s="14" t="str">
        <f t="shared" si="0"/>
        <v/>
      </c>
      <c r="G12" s="7" t="str">
        <f>IF(E12="","",IF(ABS(E12-C12)&lt;=0.5,"PASS","CHECK"))</f>
        <v/>
      </c>
      <c r="H12" s="7" t="s">
        <v>470</v>
      </c>
      <c r="I12" s="7" t="s">
        <v>471</v>
      </c>
    </row>
    <row r="13" spans="1:9" ht="28.8" x14ac:dyDescent="0.3">
      <c r="A13" s="7" t="s">
        <v>450</v>
      </c>
      <c r="B13" s="7" t="s">
        <v>472</v>
      </c>
      <c r="C13" s="12">
        <v>1.22</v>
      </c>
      <c r="D13" s="7" t="s">
        <v>463</v>
      </c>
      <c r="E13" s="13"/>
      <c r="F13" s="12" t="str">
        <f t="shared" si="0"/>
        <v/>
      </c>
      <c r="G13" s="7" t="str">
        <f>IF(E13="","",IF(ABS(E13-C13)&lt;=0.02,"PASS","CHECK"))</f>
        <v/>
      </c>
      <c r="H13" s="7" t="s">
        <v>464</v>
      </c>
      <c r="I13" s="7" t="s">
        <v>473</v>
      </c>
    </row>
    <row r="14" spans="1:9" x14ac:dyDescent="0.3">
      <c r="A14" s="7" t="s">
        <v>450</v>
      </c>
      <c r="B14" s="7" t="s">
        <v>474</v>
      </c>
      <c r="C14" s="12">
        <v>7.96</v>
      </c>
      <c r="D14" s="7" t="s">
        <v>463</v>
      </c>
      <c r="E14" s="13"/>
      <c r="F14" s="12" t="str">
        <f t="shared" si="0"/>
        <v/>
      </c>
      <c r="G14" s="7" t="str">
        <f>IF(E14="","",IF(ABS(E14-C14)&lt;=0.05,"PASS","CHECK"))</f>
        <v/>
      </c>
      <c r="H14" s="7" t="s">
        <v>475</v>
      </c>
      <c r="I14" s="7" t="s">
        <v>476</v>
      </c>
    </row>
    <row r="15" spans="1:9" x14ac:dyDescent="0.3">
      <c r="A15" s="7" t="s">
        <v>477</v>
      </c>
      <c r="B15" s="7" t="s">
        <v>478</v>
      </c>
      <c r="C15" s="8">
        <v>25000000</v>
      </c>
      <c r="D15" s="7" t="s">
        <v>104</v>
      </c>
      <c r="E15" s="11"/>
      <c r="F15" s="8" t="str">
        <f t="shared" si="0"/>
        <v/>
      </c>
      <c r="G15" s="7" t="str">
        <f t="shared" ref="G15:G39" si="1">IF(E15="","",IF(ABS(E15-C15)&lt;=ABS(C15)*0.005,"PASS","CHECK"))</f>
        <v/>
      </c>
      <c r="H15" s="7" t="s">
        <v>452</v>
      </c>
      <c r="I15" s="7" t="s">
        <v>479</v>
      </c>
    </row>
    <row r="16" spans="1:9" x14ac:dyDescent="0.3">
      <c r="A16" s="7" t="s">
        <v>477</v>
      </c>
      <c r="B16" s="7" t="s">
        <v>480</v>
      </c>
      <c r="C16" s="8">
        <v>22000000</v>
      </c>
      <c r="D16" s="7" t="s">
        <v>104</v>
      </c>
      <c r="E16" s="11"/>
      <c r="F16" s="8" t="str">
        <f t="shared" si="0"/>
        <v/>
      </c>
      <c r="G16" s="7" t="str">
        <f t="shared" si="1"/>
        <v/>
      </c>
      <c r="H16" s="7" t="s">
        <v>452</v>
      </c>
      <c r="I16" s="7"/>
    </row>
    <row r="17" spans="1:9" x14ac:dyDescent="0.3">
      <c r="A17" s="7" t="s">
        <v>477</v>
      </c>
      <c r="B17" s="7" t="s">
        <v>481</v>
      </c>
      <c r="C17" s="8">
        <v>3000000</v>
      </c>
      <c r="D17" s="7" t="s">
        <v>104</v>
      </c>
      <c r="E17" s="11"/>
      <c r="F17" s="8" t="str">
        <f t="shared" si="0"/>
        <v/>
      </c>
      <c r="G17" s="7" t="str">
        <f t="shared" si="1"/>
        <v/>
      </c>
      <c r="H17" s="7" t="s">
        <v>452</v>
      </c>
      <c r="I17" s="7" t="s">
        <v>482</v>
      </c>
    </row>
    <row r="18" spans="1:9" x14ac:dyDescent="0.3">
      <c r="A18" s="7" t="s">
        <v>477</v>
      </c>
      <c r="B18" s="7" t="s">
        <v>483</v>
      </c>
      <c r="C18" s="8">
        <v>13155494</v>
      </c>
      <c r="D18" s="7" t="s">
        <v>104</v>
      </c>
      <c r="E18" s="11"/>
      <c r="F18" s="8" t="str">
        <f t="shared" si="0"/>
        <v/>
      </c>
      <c r="G18" s="7" t="str">
        <f t="shared" si="1"/>
        <v/>
      </c>
      <c r="H18" s="7" t="s">
        <v>452</v>
      </c>
      <c r="I18" s="7" t="s">
        <v>484</v>
      </c>
    </row>
    <row r="19" spans="1:9" x14ac:dyDescent="0.3">
      <c r="A19" s="7" t="s">
        <v>477</v>
      </c>
      <c r="B19" s="7" t="s">
        <v>485</v>
      </c>
      <c r="C19" s="8">
        <v>11844506</v>
      </c>
      <c r="D19" s="7" t="s">
        <v>104</v>
      </c>
      <c r="E19" s="11"/>
      <c r="F19" s="8" t="str">
        <f t="shared" si="0"/>
        <v/>
      </c>
      <c r="G19" s="7" t="str">
        <f t="shared" si="1"/>
        <v/>
      </c>
      <c r="H19" s="7" t="s">
        <v>452</v>
      </c>
      <c r="I19" s="7" t="s">
        <v>486</v>
      </c>
    </row>
    <row r="20" spans="1:9" x14ac:dyDescent="0.3">
      <c r="A20" s="7" t="s">
        <v>477</v>
      </c>
      <c r="B20" s="7" t="s">
        <v>487</v>
      </c>
      <c r="C20" s="8">
        <v>650000</v>
      </c>
      <c r="D20" s="7" t="s">
        <v>104</v>
      </c>
      <c r="E20" s="11"/>
      <c r="F20" s="8" t="str">
        <f t="shared" si="0"/>
        <v/>
      </c>
      <c r="G20" s="7" t="str">
        <f t="shared" si="1"/>
        <v/>
      </c>
      <c r="H20" s="7" t="s">
        <v>452</v>
      </c>
      <c r="I20" s="7" t="s">
        <v>488</v>
      </c>
    </row>
    <row r="21" spans="1:9" x14ac:dyDescent="0.3">
      <c r="A21" s="7" t="s">
        <v>477</v>
      </c>
      <c r="B21" s="7" t="s">
        <v>489</v>
      </c>
      <c r="C21" s="8">
        <v>300000</v>
      </c>
      <c r="D21" s="7" t="s">
        <v>104</v>
      </c>
      <c r="E21" s="11"/>
      <c r="F21" s="8" t="str">
        <f t="shared" si="0"/>
        <v/>
      </c>
      <c r="G21" s="7" t="str">
        <f t="shared" si="1"/>
        <v/>
      </c>
      <c r="H21" s="7" t="s">
        <v>452</v>
      </c>
      <c r="I21" s="7" t="s">
        <v>490</v>
      </c>
    </row>
    <row r="22" spans="1:9" x14ac:dyDescent="0.3">
      <c r="A22" s="7" t="s">
        <v>477</v>
      </c>
      <c r="B22" s="7" t="s">
        <v>491</v>
      </c>
      <c r="C22" s="8">
        <v>1061046</v>
      </c>
      <c r="D22" s="7" t="s">
        <v>104</v>
      </c>
      <c r="E22" s="11"/>
      <c r="F22" s="8" t="str">
        <f t="shared" si="0"/>
        <v/>
      </c>
      <c r="G22" s="7" t="str">
        <f t="shared" si="1"/>
        <v/>
      </c>
      <c r="H22" s="7" t="s">
        <v>452</v>
      </c>
      <c r="I22" s="7"/>
    </row>
    <row r="23" spans="1:9" x14ac:dyDescent="0.3">
      <c r="A23" s="7" t="s">
        <v>492</v>
      </c>
      <c r="B23" s="7" t="s">
        <v>493</v>
      </c>
      <c r="C23" s="8">
        <v>9000000</v>
      </c>
      <c r="D23" s="7" t="s">
        <v>104</v>
      </c>
      <c r="E23" s="11"/>
      <c r="F23" s="8" t="str">
        <f t="shared" si="0"/>
        <v/>
      </c>
      <c r="G23" s="7" t="str">
        <f t="shared" si="1"/>
        <v/>
      </c>
      <c r="H23" s="7" t="s">
        <v>452</v>
      </c>
      <c r="I23" s="7"/>
    </row>
    <row r="24" spans="1:9" x14ac:dyDescent="0.3">
      <c r="A24" s="7" t="s">
        <v>492</v>
      </c>
      <c r="B24" s="7" t="s">
        <v>494</v>
      </c>
      <c r="C24" s="8">
        <v>3000000</v>
      </c>
      <c r="D24" s="7" t="s">
        <v>104</v>
      </c>
      <c r="E24" s="11"/>
      <c r="F24" s="8" t="str">
        <f t="shared" si="0"/>
        <v/>
      </c>
      <c r="G24" s="7" t="str">
        <f t="shared" si="1"/>
        <v/>
      </c>
      <c r="H24" s="7" t="s">
        <v>452</v>
      </c>
      <c r="I24" s="7" t="s">
        <v>495</v>
      </c>
    </row>
    <row r="25" spans="1:9" x14ac:dyDescent="0.3">
      <c r="A25" s="7" t="s">
        <v>492</v>
      </c>
      <c r="B25" s="7" t="s">
        <v>496</v>
      </c>
      <c r="C25" s="8">
        <v>8809235</v>
      </c>
      <c r="D25" s="7" t="s">
        <v>104</v>
      </c>
      <c r="E25" s="11"/>
      <c r="F25" s="8" t="str">
        <f t="shared" si="0"/>
        <v/>
      </c>
      <c r="G25" s="7" t="str">
        <f t="shared" si="1"/>
        <v/>
      </c>
      <c r="H25" s="7" t="s">
        <v>452</v>
      </c>
      <c r="I25" s="7"/>
    </row>
    <row r="26" spans="1:9" x14ac:dyDescent="0.3">
      <c r="A26" s="7" t="s">
        <v>492</v>
      </c>
      <c r="B26" s="7" t="s">
        <v>497</v>
      </c>
      <c r="C26" s="8">
        <v>190765</v>
      </c>
      <c r="D26" s="7" t="s">
        <v>104</v>
      </c>
      <c r="E26" s="11"/>
      <c r="F26" s="8" t="str">
        <f t="shared" si="0"/>
        <v/>
      </c>
      <c r="G26" s="7" t="str">
        <f t="shared" si="1"/>
        <v/>
      </c>
      <c r="H26" s="7" t="s">
        <v>452</v>
      </c>
      <c r="I26" s="7" t="s">
        <v>498</v>
      </c>
    </row>
    <row r="27" spans="1:9" x14ac:dyDescent="0.3">
      <c r="A27" s="7" t="s">
        <v>492</v>
      </c>
      <c r="B27" s="7" t="s">
        <v>499</v>
      </c>
      <c r="C27" s="8">
        <v>2576822</v>
      </c>
      <c r="D27" s="7" t="s">
        <v>104</v>
      </c>
      <c r="E27" s="11"/>
      <c r="F27" s="8" t="str">
        <f t="shared" si="0"/>
        <v/>
      </c>
      <c r="G27" s="7" t="str">
        <f t="shared" si="1"/>
        <v/>
      </c>
      <c r="H27" s="7" t="s">
        <v>452</v>
      </c>
      <c r="I27" s="7" t="s">
        <v>500</v>
      </c>
    </row>
    <row r="28" spans="1:9" x14ac:dyDescent="0.3">
      <c r="A28" s="7" t="s">
        <v>501</v>
      </c>
      <c r="B28" s="7" t="s">
        <v>502</v>
      </c>
      <c r="C28" s="8">
        <v>1881329</v>
      </c>
      <c r="D28" s="7" t="s">
        <v>104</v>
      </c>
      <c r="E28" s="11"/>
      <c r="F28" s="8" t="str">
        <f t="shared" si="0"/>
        <v/>
      </c>
      <c r="G28" s="7" t="str">
        <f t="shared" si="1"/>
        <v/>
      </c>
      <c r="H28" s="7" t="s">
        <v>452</v>
      </c>
      <c r="I28" s="7" t="s">
        <v>503</v>
      </c>
    </row>
    <row r="29" spans="1:9" x14ac:dyDescent="0.3">
      <c r="A29" s="7" t="s">
        <v>501</v>
      </c>
      <c r="B29" s="7" t="s">
        <v>504</v>
      </c>
      <c r="C29" s="8">
        <v>564399</v>
      </c>
      <c r="D29" s="7" t="s">
        <v>104</v>
      </c>
      <c r="E29" s="11"/>
      <c r="F29" s="8" t="str">
        <f t="shared" si="0"/>
        <v/>
      </c>
      <c r="G29" s="7" t="str">
        <f t="shared" si="1"/>
        <v/>
      </c>
      <c r="H29" s="7" t="s">
        <v>452</v>
      </c>
      <c r="I29" s="7" t="s">
        <v>505</v>
      </c>
    </row>
    <row r="30" spans="1:9" x14ac:dyDescent="0.3">
      <c r="A30" s="7" t="s">
        <v>501</v>
      </c>
      <c r="B30" s="7" t="s">
        <v>506</v>
      </c>
      <c r="C30" s="8">
        <v>150835</v>
      </c>
      <c r="D30" s="7" t="s">
        <v>104</v>
      </c>
      <c r="E30" s="11"/>
      <c r="F30" s="8" t="str">
        <f t="shared" si="0"/>
        <v/>
      </c>
      <c r="G30" s="7" t="str">
        <f t="shared" si="1"/>
        <v/>
      </c>
      <c r="H30" s="7" t="s">
        <v>452</v>
      </c>
      <c r="I30" s="7" t="s">
        <v>507</v>
      </c>
    </row>
    <row r="31" spans="1:9" x14ac:dyDescent="0.3">
      <c r="A31" s="7" t="s">
        <v>508</v>
      </c>
      <c r="B31" s="7" t="s">
        <v>509</v>
      </c>
      <c r="C31" s="8">
        <v>1180003</v>
      </c>
      <c r="D31" s="7" t="s">
        <v>104</v>
      </c>
      <c r="E31" s="11"/>
      <c r="F31" s="8" t="str">
        <f t="shared" si="0"/>
        <v/>
      </c>
      <c r="G31" s="7" t="str">
        <f t="shared" si="1"/>
        <v/>
      </c>
      <c r="H31" s="7" t="s">
        <v>452</v>
      </c>
      <c r="I31" s="7" t="s">
        <v>510</v>
      </c>
    </row>
    <row r="32" spans="1:9" x14ac:dyDescent="0.3">
      <c r="A32" s="7" t="s">
        <v>511</v>
      </c>
      <c r="B32" s="7" t="s">
        <v>512</v>
      </c>
      <c r="C32" s="8">
        <v>480000</v>
      </c>
      <c r="D32" s="7" t="s">
        <v>104</v>
      </c>
      <c r="E32" s="11"/>
      <c r="F32" s="8" t="str">
        <f t="shared" si="0"/>
        <v/>
      </c>
      <c r="G32" s="7" t="str">
        <f t="shared" si="1"/>
        <v/>
      </c>
      <c r="H32" s="7" t="s">
        <v>452</v>
      </c>
      <c r="I32" s="7"/>
    </row>
    <row r="33" spans="1:9" x14ac:dyDescent="0.3">
      <c r="A33" s="7" t="s">
        <v>511</v>
      </c>
      <c r="B33" s="7" t="s">
        <v>513</v>
      </c>
      <c r="C33" s="8">
        <v>1196178</v>
      </c>
      <c r="D33" s="7" t="s">
        <v>104</v>
      </c>
      <c r="E33" s="11"/>
      <c r="F33" s="8" t="str">
        <f t="shared" si="0"/>
        <v/>
      </c>
      <c r="G33" s="7" t="str">
        <f t="shared" si="1"/>
        <v/>
      </c>
      <c r="H33" s="7" t="s">
        <v>452</v>
      </c>
      <c r="I33" s="7" t="s">
        <v>514</v>
      </c>
    </row>
    <row r="34" spans="1:9" x14ac:dyDescent="0.3">
      <c r="A34" s="7" t="s">
        <v>511</v>
      </c>
      <c r="B34" s="7" t="s">
        <v>515</v>
      </c>
      <c r="C34" s="8">
        <v>85000</v>
      </c>
      <c r="D34" s="7" t="s">
        <v>104</v>
      </c>
      <c r="E34" s="11"/>
      <c r="F34" s="8" t="str">
        <f t="shared" si="0"/>
        <v/>
      </c>
      <c r="G34" s="7" t="str">
        <f t="shared" si="1"/>
        <v/>
      </c>
      <c r="H34" s="7" t="s">
        <v>452</v>
      </c>
      <c r="I34" s="7" t="s">
        <v>516</v>
      </c>
    </row>
    <row r="35" spans="1:9" x14ac:dyDescent="0.3">
      <c r="A35" s="7" t="s">
        <v>511</v>
      </c>
      <c r="B35" s="7" t="s">
        <v>517</v>
      </c>
      <c r="C35" s="8">
        <v>40100000</v>
      </c>
      <c r="D35" s="7" t="s">
        <v>104</v>
      </c>
      <c r="E35" s="11"/>
      <c r="F35" s="8" t="str">
        <f t="shared" si="0"/>
        <v/>
      </c>
      <c r="G35" s="7" t="str">
        <f t="shared" si="1"/>
        <v/>
      </c>
      <c r="H35" s="7" t="s">
        <v>452</v>
      </c>
      <c r="I35" s="7"/>
    </row>
    <row r="36" spans="1:9" x14ac:dyDescent="0.3">
      <c r="A36" s="7" t="s">
        <v>511</v>
      </c>
      <c r="B36" s="7" t="s">
        <v>518</v>
      </c>
      <c r="C36" s="8">
        <v>4000000</v>
      </c>
      <c r="D36" s="7" t="s">
        <v>104</v>
      </c>
      <c r="E36" s="11"/>
      <c r="F36" s="8" t="str">
        <f t="shared" si="0"/>
        <v/>
      </c>
      <c r="G36" s="7" t="str">
        <f t="shared" si="1"/>
        <v/>
      </c>
      <c r="H36" s="7" t="s">
        <v>452</v>
      </c>
      <c r="I36" s="7" t="s">
        <v>519</v>
      </c>
    </row>
    <row r="37" spans="1:9" x14ac:dyDescent="0.3">
      <c r="A37" s="7" t="s">
        <v>520</v>
      </c>
      <c r="B37" s="7" t="s">
        <v>521</v>
      </c>
      <c r="C37" s="8">
        <v>600000</v>
      </c>
      <c r="D37" s="7" t="s">
        <v>110</v>
      </c>
      <c r="E37" s="11"/>
      <c r="F37" s="8" t="str">
        <f t="shared" si="0"/>
        <v/>
      </c>
      <c r="G37" s="7" t="str">
        <f t="shared" si="1"/>
        <v/>
      </c>
      <c r="H37" s="7" t="s">
        <v>452</v>
      </c>
      <c r="I37" s="7"/>
    </row>
    <row r="38" spans="1:9" x14ac:dyDescent="0.3">
      <c r="A38" s="7" t="s">
        <v>520</v>
      </c>
      <c r="B38" s="7" t="s">
        <v>522</v>
      </c>
      <c r="C38" s="8">
        <v>150000</v>
      </c>
      <c r="D38" s="7" t="s">
        <v>110</v>
      </c>
      <c r="E38" s="11"/>
      <c r="F38" s="8" t="str">
        <f t="shared" si="0"/>
        <v/>
      </c>
      <c r="G38" s="7" t="str">
        <f t="shared" si="1"/>
        <v/>
      </c>
      <c r="H38" s="7" t="s">
        <v>452</v>
      </c>
      <c r="I38" s="7"/>
    </row>
    <row r="39" spans="1:9" x14ac:dyDescent="0.3">
      <c r="A39" s="7" t="s">
        <v>523</v>
      </c>
      <c r="B39" s="7" t="s">
        <v>524</v>
      </c>
      <c r="C39" s="8">
        <v>-41522199</v>
      </c>
      <c r="D39" s="7" t="s">
        <v>121</v>
      </c>
      <c r="E39" s="11"/>
      <c r="F39" s="8" t="str">
        <f t="shared" si="0"/>
        <v/>
      </c>
      <c r="G39" s="7" t="str">
        <f t="shared" si="1"/>
        <v/>
      </c>
      <c r="H39" s="7" t="s">
        <v>452</v>
      </c>
      <c r="I39" s="7" t="s">
        <v>525</v>
      </c>
    </row>
    <row r="40" spans="1:9" x14ac:dyDescent="0.3">
      <c r="A40" s="7" t="s">
        <v>526</v>
      </c>
      <c r="B40" s="7" t="s">
        <v>527</v>
      </c>
      <c r="C40" s="16">
        <v>0.16</v>
      </c>
      <c r="D40" s="7" t="s">
        <v>528</v>
      </c>
      <c r="E40" s="17"/>
      <c r="F40" s="16" t="str">
        <f t="shared" si="0"/>
        <v/>
      </c>
      <c r="G40" s="7" t="str">
        <f>IF(E40="","",IF(ABS(E40-C40)&lt;=0.01,"PASS","CHECK"))</f>
        <v/>
      </c>
      <c r="H40" s="7" t="s">
        <v>529</v>
      </c>
      <c r="I40" s="7" t="s">
        <v>530</v>
      </c>
    </row>
    <row r="42" spans="1:9" x14ac:dyDescent="0.3">
      <c r="A42" s="2" t="s">
        <v>531</v>
      </c>
    </row>
  </sheetData>
  <conditionalFormatting sqref="G5:G40">
    <cfRule type="cellIs" dxfId="3" priority="1" operator="equal">
      <formula>"PASS"</formula>
    </cfRule>
    <cfRule type="cellIs" dxfId="2" priority="2" operator="equal">
      <formula>"CHECK"</formula>
    </cfRule>
  </conditionalFormatting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25"/>
  <sheetViews>
    <sheetView showGridLines="0" workbookViewId="0"/>
  </sheetViews>
  <sheetFormatPr defaultRowHeight="14.4" x14ac:dyDescent="0.3"/>
  <cols>
    <col min="1" max="1" width="52" customWidth="1"/>
    <col min="2" max="2" width="16" customWidth="1"/>
  </cols>
  <sheetData>
    <row r="1" spans="1:2" ht="21" x14ac:dyDescent="0.4">
      <c r="A1" s="1" t="s">
        <v>532</v>
      </c>
    </row>
    <row r="2" spans="1:2" x14ac:dyDescent="0.3">
      <c r="A2" s="2" t="s">
        <v>533</v>
      </c>
    </row>
    <row r="4" spans="1:2" x14ac:dyDescent="0.3">
      <c r="A4" s="6" t="s">
        <v>534</v>
      </c>
      <c r="B4" s="6" t="s">
        <v>535</v>
      </c>
    </row>
    <row r="5" spans="1:2" x14ac:dyDescent="0.3">
      <c r="A5" s="7" t="s">
        <v>536</v>
      </c>
      <c r="B5" s="7">
        <f>COUNTA('Issues Checklist'!I5:I57)</f>
        <v>53</v>
      </c>
    </row>
    <row r="6" spans="1:2" x14ac:dyDescent="0.3">
      <c r="A6" s="7" t="s">
        <v>537</v>
      </c>
      <c r="B6" s="7">
        <f>COUNTIF('Issues Checklist'!I5:I57,"Found")</f>
        <v>0</v>
      </c>
    </row>
    <row r="7" spans="1:2" x14ac:dyDescent="0.3">
      <c r="A7" s="7" t="s">
        <v>538</v>
      </c>
      <c r="B7" s="7">
        <f>COUNTIF('Issues Checklist'!I5:I57,"Partly")</f>
        <v>0</v>
      </c>
    </row>
    <row r="8" spans="1:2" x14ac:dyDescent="0.3">
      <c r="A8" s="7" t="s">
        <v>539</v>
      </c>
      <c r="B8" s="7">
        <f>COUNTIF('Issues Checklist'!I5:I57,"Missed")</f>
        <v>0</v>
      </c>
    </row>
    <row r="9" spans="1:2" x14ac:dyDescent="0.3">
      <c r="A9" s="7" t="s">
        <v>540</v>
      </c>
      <c r="B9" s="7">
        <f>COUNTIF('Issues Checklist'!I5:I57,"Not checked")</f>
        <v>53</v>
      </c>
    </row>
    <row r="10" spans="1:2" x14ac:dyDescent="0.3">
      <c r="A10" s="7" t="s">
        <v>541</v>
      </c>
      <c r="B10" s="16" t="str">
        <f>IFERROR((B6+0.5*B7)/(B6+B7+B8),"")</f>
        <v/>
      </c>
    </row>
    <row r="11" spans="1:2" x14ac:dyDescent="0.3">
      <c r="A11" s="7" t="s">
        <v>542</v>
      </c>
      <c r="B11" s="7">
        <f>COUNTIFS('Issues Checklist'!G5:G57,"Yes",'Issues Checklist'!I5:I57,"Missed")</f>
        <v>0</v>
      </c>
    </row>
    <row r="13" spans="1:2" x14ac:dyDescent="0.3">
      <c r="A13" s="6" t="s">
        <v>543</v>
      </c>
      <c r="B13" s="6" t="s">
        <v>535</v>
      </c>
    </row>
    <row r="14" spans="1:2" x14ac:dyDescent="0.3">
      <c r="A14" s="7" t="s">
        <v>544</v>
      </c>
      <c r="B14" s="7">
        <f>ROWS('Key Numbers'!G5:G40)</f>
        <v>36</v>
      </c>
    </row>
    <row r="15" spans="1:2" x14ac:dyDescent="0.3">
      <c r="A15" s="7" t="s">
        <v>545</v>
      </c>
      <c r="B15" s="7">
        <f>COUNTIF('Key Numbers'!G5:G40,"PASS")</f>
        <v>0</v>
      </c>
    </row>
    <row r="16" spans="1:2" x14ac:dyDescent="0.3">
      <c r="A16" s="7" t="s">
        <v>546</v>
      </c>
      <c r="B16" s="7">
        <f>COUNTIF('Key Numbers'!G5:G40,"CHECK")</f>
        <v>0</v>
      </c>
    </row>
    <row r="17" spans="1:2" x14ac:dyDescent="0.3">
      <c r="A17" s="7" t="s">
        <v>547</v>
      </c>
      <c r="B17" s="7">
        <f>COUNTBLANK('Key Numbers'!G5:G40)</f>
        <v>36</v>
      </c>
    </row>
    <row r="19" spans="1:2" x14ac:dyDescent="0.3">
      <c r="A19" s="6" t="s">
        <v>548</v>
      </c>
      <c r="B19" s="6" t="s">
        <v>549</v>
      </c>
    </row>
    <row r="20" spans="1:2" ht="28.8" x14ac:dyDescent="0.3">
      <c r="A20" s="7" t="s">
        <v>550</v>
      </c>
      <c r="B20" s="9" t="s">
        <v>162</v>
      </c>
    </row>
    <row r="21" spans="1:2" ht="28.8" x14ac:dyDescent="0.3">
      <c r="A21" s="7" t="s">
        <v>551</v>
      </c>
      <c r="B21" s="9" t="s">
        <v>162</v>
      </c>
    </row>
    <row r="22" spans="1:2" x14ac:dyDescent="0.3">
      <c r="A22" s="7" t="s">
        <v>552</v>
      </c>
      <c r="B22" s="9" t="s">
        <v>162</v>
      </c>
    </row>
    <row r="23" spans="1:2" ht="28.8" x14ac:dyDescent="0.3">
      <c r="A23" s="7" t="s">
        <v>553</v>
      </c>
      <c r="B23" s="9" t="s">
        <v>162</v>
      </c>
    </row>
    <row r="25" spans="1:2" x14ac:dyDescent="0.3">
      <c r="A25" s="18" t="s">
        <v>554</v>
      </c>
      <c r="B25" s="18" t="str">
        <f>IF(COUNTIF(B20:B23,"Not checked")&gt;0,"Incomplete",IF(AND(COUNTIF(B20:B23,"Yes")=4,B11=0),"GOOD RUN","NEEDS WORK"))</f>
        <v>Incomplete</v>
      </c>
    </row>
  </sheetData>
  <conditionalFormatting sqref="B20:B23">
    <cfRule type="cellIs" dxfId="1" priority="1" operator="equal">
      <formula>"Yes"</formula>
    </cfRule>
    <cfRule type="cellIs" dxfId="0" priority="2" operator="equal">
      <formula>"No"</formula>
    </cfRule>
  </conditionalFormatting>
  <dataValidations count="1">
    <dataValidation type="list" sqref="B20:B23" xr:uid="{00000000-0002-0000-0600-000000000000}">
      <formula1>"Yes,No,Not checked"</formula1>
    </dataValidation>
  </dataValidation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What You Get</vt:lpstr>
      <vt:lpstr>How It Works</vt:lpstr>
      <vt:lpstr>The Company</vt:lpstr>
      <vt:lpstr>Issues Checklist</vt:lpstr>
      <vt:lpstr>Key Numbers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Akram Siblee</cp:lastModifiedBy>
  <dcterms:created xsi:type="dcterms:W3CDTF">2026-11-02T03:53:59Z</dcterms:created>
  <dcterms:modified xsi:type="dcterms:W3CDTF">2026-11-02T03:54:07Z</dcterms:modified>
</cp:coreProperties>
</file>